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ços" sheetId="1" state="visible" r:id="rId3"/>
    <sheet name="Controle" sheetId="2" state="hidden" r:id="rId4"/>
  </sheets>
  <definedNames>
    <definedName function="false" hidden="false" localSheetId="0" name="_xlnm.Print_Titles" vbProcedure="false">Preços!$14:$14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<sst xmlns="http://schemas.openxmlformats.org/spreadsheetml/2006/main" count="102" uniqueCount="88">
  <si>
    <t xml:space="preserve">TABELA NEGOCIAÇÃO PREGÃO - MENOR PREÇO LOTE</t>
  </si>
  <si>
    <t xml:space="preserve">Órgão</t>
  </si>
  <si>
    <t xml:space="preserve">Prefeitura do Município de Itatiba — Secretaria de Obras — Departamento de Trânsito</t>
  </si>
  <si>
    <t xml:space="preserve">Total de entrada</t>
  </si>
  <si>
    <t xml:space="preserve">Processo</t>
  </si>
  <si>
    <t xml:space="preserve">Pregão Eletrônico nº 65/2026 (Edital nº 88/2026) — Proc. Adm. 4.604/2026</t>
  </si>
  <si>
    <t xml:space="preserve">Total mínimo</t>
  </si>
  <si>
    <t xml:space="preserve">Sessão</t>
  </si>
  <si>
    <t xml:space="preserve">sexta-feira, 09/10/2026 às 09:00 (Brasília)</t>
  </si>
  <si>
    <t xml:space="preserve">Mínimo ÷ entrada</t>
  </si>
  <si>
    <t xml:space="preserve">Portal</t>
  </si>
  <si>
    <t xml:space="preserve">BBMNET (novobbmnet.com.br)</t>
  </si>
  <si>
    <t xml:space="preserve">Itens preenchidos</t>
  </si>
  <si>
    <t xml:space="preserve">Critério</t>
  </si>
  <si>
    <t xml:space="preserve">Menor preço global por lote — disputa aberta (lance pelo valor total do lote)</t>
  </si>
  <si>
    <t xml:space="preserve">Participação</t>
  </si>
  <si>
    <t xml:space="preserve">Exclusivo ME/EPP</t>
  </si>
  <si>
    <t xml:space="preserve">Preencher até</t>
  </si>
  <si>
    <t xml:space="preserve">08/10/2026 (quinta-feira) às 17h</t>
  </si>
  <si>
    <t xml:space="preserve">Preencha só a coluna amarela VALOR MÍNIMO (preço unitário). Totais e percentuais se calculam sozinhos. Linha vermelha em MÍN. ÷ ENTRADA = mínimo acima do valor de entrada do edital.</t>
  </si>
  <si>
    <t xml:space="preserve">Terminou? Salve com o mesmo nome de arquivo e envie para o Thiago.</t>
  </si>
  <si>
    <t xml:space="preserve">LOTE</t>
  </si>
  <si>
    <t xml:space="preserve">Nº ITEM</t>
  </si>
  <si>
    <t xml:space="preserve">ITEM</t>
  </si>
  <si>
    <t xml:space="preserve">UNID.</t>
  </si>
  <si>
    <t xml:space="preserve">QTDE</t>
  </si>
  <si>
    <t xml:space="preserve">VALOR DE ENTRADA</t>
  </si>
  <si>
    <t xml:space="preserve">TOTAL ENTRADA</t>
  </si>
  <si>
    <t xml:space="preserve">VALOR MÍNIMO</t>
  </si>
  <si>
    <t xml:space="preserve">TOTAL MÍNIMO</t>
  </si>
  <si>
    <t xml:space="preserve">MÍN. ÷ ENTRADA</t>
  </si>
  <si>
    <t xml:space="preserve">OBSERVAÇÃO</t>
  </si>
  <si>
    <t xml:space="preserve">1.1</t>
  </si>
  <si>
    <t xml:space="preserve">BONÉ AGENTE DE TRÂNSITO EM BRIM PRETO, FRENTE REFORÇADA INTERNAMENTE, REGULADOR TRASEIRO; BRASÃO DA PMI NA FRENTE 5 CORES 6X6 CM; "TRÂNSITO" NAS LATERAIS 1 COR 8X1,2 CM; BOTÃO REVESTIDO; PALA RÍGIDA</t>
  </si>
  <si>
    <t xml:space="preserve">PÇ</t>
  </si>
  <si>
    <t xml:space="preserve">1.2</t>
  </si>
  <si>
    <t xml:space="preserve">CALÇA MODELO FEMININO – TRÂNSITO. TECIDO TECHNO RIP STOP PRETO 67% POLIÉSTER/33% ALGODÃO, 220–238 G/M²; FAIXAS REFLETIVAS 3M PRATA 4 CM FRENTE E VERSO DAS PERNAS; 2 BOLSOS FACA FORRADOS, 2 BOLSOS CARGO 27X15 CM, 2 TRASEIROS EMBUTIDOS C/ LAPELA E VELCRO; CÓS C/ ELÁSTICO TRASEIRO; REFORÇO CAVALO E JOELHOS; 5 PASSADORES; NORMAS ABNT NBR 13377, NBR 15292, ISO 13688 E PORTARIA INMETRO 118/2015</t>
  </si>
  <si>
    <t xml:space="preserve">1.3</t>
  </si>
  <si>
    <t xml:space="preserve">CALÇA OPERACIONAL MASCULINA P/ FISCALIZAÇÃO DE TRÂNSITO. TECIDO TECHNO RIP STOP PRETO 67% POLIÉSTER/33% ALGODÃO, 220–238 G/M²; FAIXAS REFLETIVAS 3M PRATA 4 CM FRENTE E VERSO DAS PERNAS; 2 BOLSOS FACA FORRADOS, 2 BOLSOS CARGO 27X15 CM, 2 TRASEIROS EMBUTIDOS C/ LAPELA E VELCRO; CÓS C/ ELÁSTICO TRASEIRO; REFORÇO CAVALO E JOELHOS; 5 PASSADORES</t>
  </si>
  <si>
    <t xml:space="preserve">UN</t>
  </si>
  <si>
    <t xml:space="preserve">1.4</t>
  </si>
  <si>
    <t xml:space="preserve">CAMISA OPERACIONAL P/ FISCALIZAÇÃO DE TRÂNSITO, MASCULINA, PRETA E VERDE FLUORESCENTE NEON, MANGA CURTA, TECIDO RIPSTOP 67% POLIÉSTER/33% ALGODÃO HIDRORREPELENTE; GOLA COLARINHO PRETA; PALA PRETA C/ BORDADO "TRÂNSITO"; VISTA DUPLA VERDE NEON/PRETA, 7 BOTÕES; 2 BOLSOS EMBUTIDOS C/ ZÍPER (PORTA-CANETA); FIO VIVO REFLETIVO 500 LUMENS PRATA 2 CM 360° NO CORPO, MANGAS E PALA; BRASÃO BORDADO TAFETÁ 7,5X7,5 CM NA MANGA ESQ.; BORDADOS "TRÂNSITO" VERDE NEON NA FRENTE (10X2 CM) E COSTAS (28X7 CM)</t>
  </si>
  <si>
    <t xml:space="preserve">1.5</t>
  </si>
  <si>
    <t xml:space="preserve">CAMISA OPERACIONAL P/ FISCALIZAÇÃO DE TRÂNSITO, FEMININA, PRETA E VERDE FLUORESCENTE NEON, MANGA CURTA, TECIDO RIPSTOP 67% POLIÉSTER/33% ALGODÃO HIDRORREPELENTE; GOLA COLARINHO PRETA; PALA PRETA C/ BORDADO "TRÂNSITO"; VISTA DUPLA VERDE NEON/PRETA, 7 BOTÕES; 2 BOLSOS EMBUTIDOS C/ ZÍPER (PORTA-CANETA); FIO VIVO REFLETIVO 500 LUMENS PRATA 2 CM 360° NO CORPO, MANGAS E PALA; BRASÃO BORDADO TAFETÁ 7,5X7,5 CM NA MANGA ESQ.; BORDADOS "TRÂNSITO" VERDE NEON NA FRENTE (10X2 CM) E COSTAS (28X7 CM)</t>
  </si>
  <si>
    <t xml:space="preserve">1.6</t>
  </si>
  <si>
    <t xml:space="preserve">CAMISA OPERACIONAL TOPOGRAFIA, MASCULINA, VERDE-BANDEIRA, MANGA CURTA, TECIDO RIPSTOP 67% POLIÉSTER/33% ALGODÃO HIDRORREPELENTE; GOLA ESPORTE E PARTE INTERNA PRETAS; FIO VIVO REFLETIVO 500 LUMENS PRATA 4 CM 360° NO CORPO, MANGAS E PALA; 2 BOLSOS EMBUTIDOS C/ ZÍPER (PORTA-CANETA); BORDADOS "TOPOGRAFIA" PRETO FRENTE (10X2 CM) E COSTAS (23X4 CM); BRASÃO BORDADO TAFETÁ 7,5X7,5 CM NA MANGA ESQ.</t>
  </si>
  <si>
    <t xml:space="preserve">1.7</t>
  </si>
  <si>
    <t xml:space="preserve">CAMISETA POLO ADM., MASCULINA. CAMISETA POLO PRETA, MALHA 65% POLIÉSTER/35% VISCOSE 187 G/M², ANTI-PILLING, CORTE RETO, 3 BOTÕES PRETOS, RIBANA NA MANGA CURTA (MÍN. 30 MM, 3% ELASTANO); BRASÃO BORDADO TAFETÁ EM PATCH 7,5X7,5 CM NO PEITO ESQ.; "D.M.T." BORDADO VERDE NEON 6X3 CM NO PEITO DIR.</t>
  </si>
  <si>
    <t xml:space="preserve">1.8</t>
  </si>
  <si>
    <t xml:space="preserve">CAMISETA POLO ADM., FEMININA. CAMISETA POLO PRETA, MALHA 65% POLIÉSTER/35% VISCOSE 187 G/M², ANTI-PILLING, CORTE RETO, 3 BOTÕES PRETOS, RIBANA NA MANGA CURTA (MÍN. 30 MM, 3% ELASTANO); BRASÃO BORDADO TAFETÁ EM PATCH 7,5X7,5 CM NO PEITO ESQ.; "D.M.T." BORDADO VERDE NEON 6X3 CM NO PEITO DIR.</t>
  </si>
  <si>
    <t xml:space="preserve">1.9</t>
  </si>
  <si>
    <t xml:space="preserve">JAQUETA P/ FISCALIZAÇÃO DE TRÂNSITO, PRETA E VERDE FLUORESCENTE NEON, PALA PRETA C/ BORDADO "TRÂNSITO" (VERDE NEON). TECIDO RIPSTOP 57% ALGODÃO/43% POLIÉSTER 238 G/M², FORRO REMOVÍVEL ACOLCHOADO (MANTA ACRÍLICA 60, MATELASSÊ, FORRO 100% POLIÉSTER PRETO); ZÍPER DESTACÁVEL Nº 5 PRETO; FAIXA REFLETIVA FIO VIVO 500 LUMENS PRATA ANTICHAMAS 50 MM (OMBROS, 360° TÓRAX/COSTAS E MANGAS); GOLA ESPORTE; MANGAS LONGAS C/ ELÁSTICO NOS PUNHOS E CÓS LATERAL; BOLSO FACA; BORDADOS FRENTE (10X2 CM) E COSTAS (28X7 CM) + 2 BORDADOS NAS MANGAS (LOGO E BRASÃO)</t>
  </si>
  <si>
    <t xml:space="preserve">1.10</t>
  </si>
  <si>
    <t xml:space="preserve">JAQUETA OPERACIONAL TOPOGRAFIA, VERDE-BANDEIRA, BORDADOS "TOPOGRAFIA" EM PRETO. TECIDO RIPSTOP 57% ALGODÃO/43% POLIÉSTER 238 G/M², FORRO REMOVÍVEL ACOLCHOADO (MANTA ACRÍLICA 60, MATELASSÊ, FORRO 100% POLIÉSTER PRETO); ZÍPER DESTACÁVEL Nº 5 PRETO; FAIXA REFLETIVA FIO VIVO 500 LUMENS PRATA ANTICHAMAS 50 MM (OMBROS, 360° TÓRAX/COSTAS E MANGAS); GOLA ESPORTE; MANGAS LONGAS C/ ELÁSTICO NOS PUNHOS E CÓS LATERAL; BOLSO FACA; BORDADOS FRENTE (10X2 CM) E COSTAS (28X7 CM) + 2 BORDADOS NAS MANGAS (LOGO E BRASÃO)</t>
  </si>
  <si>
    <t xml:space="preserve">1.11</t>
  </si>
  <si>
    <t xml:space="preserve">CINTO PARA FISCALIZAÇÃO DE TRÂNSITO, NYLON PRETO, FIVELA CROMADA, LARGURA 3,3 CM</t>
  </si>
  <si>
    <t xml:space="preserve">Total do lote 1</t>
  </si>
  <si>
    <t xml:space="preserve">2.1</t>
  </si>
  <si>
    <t xml:space="preserve">APITO METÁLICO EM LATÃO CROMADO OU AÇO INOX, COM ESFERA INTERNA, ACIMA DE 90 DB, BOCAL ANATÔMICO, APROX. 5 CM; ACOMPANHA CORDÃO OU CORRENTE DE PESCOÇO COM ARGOLA OU MOSQUETÃO</t>
  </si>
  <si>
    <t xml:space="preserve">Total do lote 2</t>
  </si>
  <si>
    <t xml:space="preserve">3.1</t>
  </si>
  <si>
    <t xml:space="preserve">CAPACETE MODULAR PARA MOTOCICLISTA, PRETO, QUEIXEIRA ARTICULÁVEL/ESCAMOTEÁVEL (1 BOTÃO), CASCO ABS, EPS DUPLA DENSIDADE, VISEIRA CRISTAL 2 MM + VISEIRA INTERNA FUMÊ, FORRO REMOVÍVEL, ENGATE RÁPIDO C/ CATRACA, 1.550–1.650 G (MÁX. 1.700 G), RETRORREFLETIVOS; CERTIFICADO INMETRO NBR 7471 E RES. CONTRAN 203/06</t>
  </si>
  <si>
    <t xml:space="preserve">Total do lote 3</t>
  </si>
  <si>
    <t xml:space="preserve">4.1</t>
  </si>
  <si>
    <t xml:space="preserve">LUVAS PARA MOTOCICLISTAS, MODELO HALF FINGER 3/4, PALMA EM KEVLAR (OU SUPERIOR) C/ CAMURÇA DUPLA E ANTI-IMPACTO, DORSO E FALANGES EM TPR (NÃO PVC/POLIÉSTER), TECIDO MESH, PUNHO TPR C/ AIRPRENE</t>
  </si>
  <si>
    <t xml:space="preserve">PAR</t>
  </si>
  <si>
    <t xml:space="preserve">Total do lote 4</t>
  </si>
  <si>
    <t xml:space="preserve">5.1</t>
  </si>
  <si>
    <t xml:space="preserve">CONJUNTO CAPA DE CHUVA (CAPA + CALÇA) EM NYLON EMBORRACHADO DN70 C/ FILME DE PVC, COR AMARELA; CAPA C/ CAPUZ, MANGA LONGA E ZÍPER; FAIXAS REFLETIVAS CINZA (PEITO, MANGAS, COSTAS E JOELHOS); CALÇA C/ ELÁSTICO E BOLSOS; COSTURAS SOLDADAS; "TRÂNSITO" PRETO FRENTE 10X3 E COSTAS 30X5 CM; TAM. P A XGG</t>
  </si>
  <si>
    <t xml:space="preserve">CJ</t>
  </si>
  <si>
    <t xml:space="preserve">5.2</t>
  </si>
  <si>
    <t xml:space="preserve">CAPA DE CHUVA MODELO SOBRETUDO EM POLIAMIDA (NYLON EMBORRACHADO), PRETA COM AMARELO FLUORESCENTE, MANGAS COMPRIDAS, SEM BOLSOS, CAPUZ SEM CORDÃO, BOTÕES DE PRESSÃO DO PESCOÇO AO JOELHO, FAIXAS REFLETIVAS NO TÓRAX; "TRÂNSITO" PRETO FRENTE 10X3 E COSTAS 30X5 CM; TAM. P A XGG</t>
  </si>
  <si>
    <t xml:space="preserve">Total do lote 5</t>
  </si>
  <si>
    <t xml:space="preserve">TOTAL GERAL</t>
  </si>
  <si>
    <t xml:space="preserve">id</t>
  </si>
  <si>
    <t xml:space="preserve">2026-10-09-itatiba</t>
  </si>
  <si>
    <t xml:space="preserve">orgao</t>
  </si>
  <si>
    <t xml:space="preserve">Prefeitura do Município de Itatiba</t>
  </si>
  <si>
    <t xml:space="preserve">processo</t>
  </si>
  <si>
    <t xml:space="preserve">sessao</t>
  </si>
  <si>
    <t xml:space="preserve">2026-10-09T09:00</t>
  </si>
  <si>
    <t xml:space="preserve">portal</t>
  </si>
  <si>
    <t xml:space="preserve">criterio</t>
  </si>
  <si>
    <t xml:space="preserve">lote</t>
  </si>
  <si>
    <t xml:space="preserve">gerado_em</t>
  </si>
  <si>
    <t xml:space="preserve">2026-09-30 11:46</t>
  </si>
  <si>
    <t xml:space="preserve">fonte</t>
  </si>
  <si>
    <t xml:space="preserve">Edital PE 65/2026 — Anexo I Termo de Referência, item 1.1 (total estimado R$ 46.943,11)</t>
  </si>
</sst>
</file>

<file path=xl/styles.xml><?xml version="1.0" encoding="utf-8"?>
<styleSheet xmlns="http://schemas.openxmlformats.org/spreadsheetml/2006/main">
  <numFmts count="5">
    <numFmt numFmtId="164" formatCode="General"/>
    <numFmt numFmtId="165" formatCode="&quot;R$ &quot;#,##0.00;&quot;-R$ &quot;#,##0.00;\-"/>
    <numFmt numFmtId="166" formatCode="0%;\-0%;\-"/>
    <numFmt numFmtId="167" formatCode="@"/>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20"/>
      <color rgb="FF13284A"/>
      <name val="Aptos Narrow"/>
      <family val="0"/>
      <charset val="1"/>
    </font>
    <font>
      <b val="true"/>
      <sz val="10"/>
      <color rgb="FF5B6679"/>
      <name val="Aptos Narrow"/>
      <family val="0"/>
      <charset val="1"/>
    </font>
    <font>
      <sz val="11"/>
      <color rgb="FF111C2E"/>
      <name val="Aptos Narrow"/>
      <family val="0"/>
      <charset val="1"/>
    </font>
    <font>
      <b val="true"/>
      <sz val="12"/>
      <color rgb="FF13284A"/>
      <name val="Aptos Narrow"/>
      <family val="0"/>
      <charset val="1"/>
    </font>
    <font>
      <b val="true"/>
      <sz val="11"/>
      <color rgb="FFB42318"/>
      <name val="Aptos Narrow"/>
      <family val="0"/>
      <charset val="1"/>
    </font>
    <font>
      <i val="true"/>
      <sz val="10"/>
      <color rgb="FF5B6679"/>
      <name val="Aptos Narrow"/>
      <family val="0"/>
      <charset val="1"/>
    </font>
    <font>
      <b val="true"/>
      <sz val="10"/>
      <color rgb="FFB42318"/>
      <name val="Aptos Narrow"/>
      <family val="0"/>
      <charset val="1"/>
    </font>
    <font>
      <b val="true"/>
      <sz val="10"/>
      <color rgb="FFFFFFFF"/>
      <name val="Aptos Narrow"/>
      <family val="0"/>
      <charset val="1"/>
    </font>
    <font>
      <sz val="10"/>
      <color rgb="FF111C2E"/>
      <name val="Aptos Narrow"/>
      <family val="0"/>
      <charset val="1"/>
    </font>
    <font>
      <b val="true"/>
      <sz val="11"/>
      <color rgb="FF111C2E"/>
      <name val="Aptos Narrow"/>
      <family val="0"/>
      <charset val="1"/>
    </font>
    <font>
      <b val="true"/>
      <sz val="10"/>
      <color rgb="FF111C2E"/>
      <name val="Aptos Narrow"/>
      <family val="0"/>
      <charset val="1"/>
    </font>
  </fonts>
  <fills count="7">
    <fill>
      <patternFill patternType="none"/>
    </fill>
    <fill>
      <patternFill patternType="gray125"/>
    </fill>
    <fill>
      <patternFill patternType="solid">
        <fgColor rgb="FF13284A"/>
        <bgColor rgb="FF111C2E"/>
      </patternFill>
    </fill>
    <fill>
      <patternFill patternType="solid">
        <fgColor rgb="FFFFF2A8"/>
        <bgColor rgb="FFFBE3C0"/>
      </patternFill>
    </fill>
    <fill>
      <patternFill patternType="solid">
        <fgColor rgb="FFFFFBE0"/>
        <bgColor rgb="FFFFFFFF"/>
      </patternFill>
    </fill>
    <fill>
      <patternFill patternType="solid">
        <fgColor rgb="FFEEF1F5"/>
        <bgColor rgb="FFFFFBE0"/>
      </patternFill>
    </fill>
    <fill>
      <patternFill patternType="solid">
        <fgColor rgb="FFDCE3EE"/>
        <bgColor rgb="FFEEF1F5"/>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right" vertical="bottom" textRotation="0" wrapText="false" indent="0" shrinkToFit="false"/>
      <protection locked="true" hidden="false"/>
    </xf>
    <xf numFmtId="165" fontId="13" fillId="5" borderId="1" xfId="0" applyFont="true" applyBorder="true" applyAlignment="false" applyProtection="false">
      <alignment horizontal="general" vertical="bottom" textRotation="0" wrapText="false" indent="0" shrinkToFit="false"/>
      <protection locked="true" hidden="false"/>
    </xf>
    <xf numFmtId="166" fontId="13" fillId="5" borderId="1" xfId="0" applyFont="true" applyBorder="true" applyAlignment="true" applyProtection="false">
      <alignment horizontal="center"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right" vertical="bottom" textRotation="0" wrapText="false" indent="0" shrinkToFit="false"/>
      <protection locked="true" hidden="false"/>
    </xf>
    <xf numFmtId="165" fontId="13" fillId="6" borderId="1" xfId="0" applyFont="true" applyBorder="true" applyAlignment="false" applyProtection="false">
      <alignment horizontal="general" vertical="bottom" textRotation="0" wrapText="false" indent="0" shrinkToFit="false"/>
      <protection locked="true" hidden="false"/>
    </xf>
    <xf numFmtId="166" fontId="13" fillId="6"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9A1C12"/>
      </font>
      <fill>
        <patternFill>
          <bgColor rgb="FFF8C9C3"/>
        </patternFill>
      </fill>
    </dxf>
    <dxf>
      <fill>
        <patternFill>
          <bgColor rgb="FFFBE3C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B42318"/>
      <rgbColor rgb="FFFFFBE0"/>
      <rgbColor rgb="FFEEF1F5"/>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DCE3EE"/>
      <rgbColor rgb="FFFBE3C0"/>
      <rgbColor rgb="FFFFF2A8"/>
      <rgbColor rgb="FF99CCFF"/>
      <rgbColor rgb="FFFF99CC"/>
      <rgbColor rgb="FFCC99FF"/>
      <rgbColor rgb="FFF8C9C3"/>
      <rgbColor rgb="FF3366FF"/>
      <rgbColor rgb="FF33CCCC"/>
      <rgbColor rgb="FF99CC00"/>
      <rgbColor rgb="FFFFCC00"/>
      <rgbColor rgb="FFFF9900"/>
      <rgbColor rgb="FFFF6600"/>
      <rgbColor rgb="FF5B6679"/>
      <rgbColor rgb="FF969696"/>
      <rgbColor rgb="FF13284A"/>
      <rgbColor rgb="FF339966"/>
      <rgbColor rgb="FF111C2E"/>
      <rgbColor rgb="FF333300"/>
      <rgbColor rgb="FF9A1C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4" topLeftCell="D15" activePane="bottomRight" state="frozen"/>
      <selection pane="topLeft" activeCell="A1" activeCellId="0" sqref="A1"/>
      <selection pane="topRight" activeCell="D1" activeCellId="0" sqref="D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62"/>
    <col collapsed="false" customWidth="true" hidden="false" outlineLevel="0" max="4" min="4" style="0" width="7"/>
    <col collapsed="false" customWidth="true" hidden="false" outlineLevel="0" max="5" min="5" style="0" width="8"/>
    <col collapsed="false" customWidth="true" hidden="false" outlineLevel="0" max="6" min="6" style="0" width="14"/>
    <col collapsed="false" customWidth="true" hidden="false" outlineLevel="0" max="7" min="7" style="0" width="19"/>
    <col collapsed="false" customWidth="true" hidden="false" outlineLevel="0" max="8" min="8" style="0" width="14"/>
    <col collapsed="false" customWidth="true" hidden="false" outlineLevel="0" max="9" min="9" style="0" width="19"/>
    <col collapsed="false" customWidth="true" hidden="false" outlineLevel="0" max="10" min="10" style="0" width="11"/>
    <col collapsed="false" customWidth="true" hidden="false" outlineLevel="0" max="11" min="11" style="0" width="34"/>
  </cols>
  <sheetData>
    <row r="1" customFormat="false" ht="30" hidden="false" customHeight="true" outlineLevel="0" collapsed="false">
      <c r="A1" s="1" t="s">
        <v>0</v>
      </c>
    </row>
    <row r="3" customFormat="false" ht="15" hidden="false" customHeight="false" outlineLevel="0" collapsed="false">
      <c r="A3" s="2" t="s">
        <v>1</v>
      </c>
      <c r="C3" s="3" t="s">
        <v>2</v>
      </c>
      <c r="H3" s="4" t="s">
        <v>3</v>
      </c>
      <c r="I3" s="5" t="n">
        <f aca="false">G36</f>
        <v>46943.11</v>
      </c>
    </row>
    <row r="4" customFormat="false" ht="15" hidden="false" customHeight="false" outlineLevel="0" collapsed="false">
      <c r="A4" s="2" t="s">
        <v>4</v>
      </c>
      <c r="C4" s="3" t="s">
        <v>5</v>
      </c>
      <c r="H4" s="4" t="s">
        <v>6</v>
      </c>
      <c r="I4" s="5" t="n">
        <f aca="false">I36</f>
        <v>0</v>
      </c>
    </row>
    <row r="5" customFormat="false" ht="15" hidden="false" customHeight="false" outlineLevel="0" collapsed="false">
      <c r="A5" s="2" t="s">
        <v>7</v>
      </c>
      <c r="C5" s="3" t="s">
        <v>8</v>
      </c>
      <c r="H5" s="4" t="s">
        <v>9</v>
      </c>
      <c r="I5" s="6" t="str">
        <f aca="false">IF(OR(I4=0,I3=0),"",I4/I3)</f>
        <v/>
      </c>
    </row>
    <row r="6" customFormat="false" ht="15" hidden="false" customHeight="false" outlineLevel="0" collapsed="false">
      <c r="A6" s="2" t="s">
        <v>10</v>
      </c>
      <c r="C6" s="3" t="s">
        <v>11</v>
      </c>
      <c r="H6" s="4" t="s">
        <v>12</v>
      </c>
      <c r="I6" s="7" t="str">
        <f aca="false">COUNT(H15,H16,H17,H18,H19,H20,H21,H22,H23,H24,H25,H27,H29,H31,H33,H34)&amp;" de 16"</f>
        <v>0 de 16</v>
      </c>
    </row>
    <row r="7" customFormat="false" ht="15" hidden="false" customHeight="false" outlineLevel="0" collapsed="false">
      <c r="A7" s="2" t="s">
        <v>13</v>
      </c>
      <c r="C7" s="3" t="s">
        <v>14</v>
      </c>
    </row>
    <row r="8" customFormat="false" ht="15" hidden="false" customHeight="false" outlineLevel="0" collapsed="false">
      <c r="A8" s="2" t="s">
        <v>15</v>
      </c>
      <c r="C8" s="3" t="s">
        <v>16</v>
      </c>
    </row>
    <row r="9" customFormat="false" ht="15" hidden="false" customHeight="false" outlineLevel="0" collapsed="false">
      <c r="A9" s="2" t="s">
        <v>17</v>
      </c>
      <c r="C9" s="8" t="s">
        <v>18</v>
      </c>
    </row>
    <row r="11" customFormat="false" ht="15" hidden="false" customHeight="false" outlineLevel="0" collapsed="false">
      <c r="A11" s="9" t="s">
        <v>19</v>
      </c>
    </row>
    <row r="12" customFormat="false" ht="15" hidden="false" customHeight="false" outlineLevel="0" collapsed="false">
      <c r="A12" s="10" t="s">
        <v>20</v>
      </c>
    </row>
    <row r="14" customFormat="false" ht="31.5" hidden="false" customHeight="true" outlineLevel="0" collapsed="false">
      <c r="A14" s="11" t="s">
        <v>21</v>
      </c>
      <c r="B14" s="11" t="s">
        <v>22</v>
      </c>
      <c r="C14" s="11" t="s">
        <v>23</v>
      </c>
      <c r="D14" s="11" t="s">
        <v>24</v>
      </c>
      <c r="E14" s="11" t="s">
        <v>25</v>
      </c>
      <c r="F14" s="11" t="s">
        <v>26</v>
      </c>
      <c r="G14" s="11" t="s">
        <v>27</v>
      </c>
      <c r="H14" s="11" t="s">
        <v>28</v>
      </c>
      <c r="I14" s="11" t="s">
        <v>29</v>
      </c>
      <c r="J14" s="11" t="s">
        <v>30</v>
      </c>
      <c r="K14" s="11" t="s">
        <v>31</v>
      </c>
    </row>
    <row r="15" customFormat="false" ht="60" hidden="false" customHeight="true" outlineLevel="0" collapsed="false">
      <c r="A15" s="12" t="n">
        <v>1</v>
      </c>
      <c r="B15" s="12" t="s">
        <v>32</v>
      </c>
      <c r="C15" s="13" t="s">
        <v>33</v>
      </c>
      <c r="D15" s="12" t="s">
        <v>34</v>
      </c>
      <c r="E15" s="14" t="n">
        <v>30</v>
      </c>
      <c r="F15" s="15" t="n">
        <v>44.41</v>
      </c>
      <c r="G15" s="15" t="n">
        <f aca="false">IF(F15="","",E15*F15)</f>
        <v>1332.3</v>
      </c>
      <c r="H15" s="16"/>
      <c r="I15" s="15" t="str">
        <f aca="false">IF(H15="","",E15*H15)</f>
        <v/>
      </c>
      <c r="J15" s="17" t="str">
        <f aca="false">IF(OR(H15="",F15=""),"",H15/F15)</f>
        <v/>
      </c>
      <c r="K15" s="18"/>
    </row>
    <row r="16" customFormat="false" ht="102" hidden="false" customHeight="true" outlineLevel="0" collapsed="false">
      <c r="A16" s="12" t="n">
        <v>1</v>
      </c>
      <c r="B16" s="12" t="s">
        <v>35</v>
      </c>
      <c r="C16" s="13" t="s">
        <v>36</v>
      </c>
      <c r="D16" s="12" t="s">
        <v>34</v>
      </c>
      <c r="E16" s="14" t="n">
        <v>6</v>
      </c>
      <c r="F16" s="15" t="n">
        <v>177.2</v>
      </c>
      <c r="G16" s="15" t="n">
        <f aca="false">IF(F16="","",E16*F16)</f>
        <v>1063.2</v>
      </c>
      <c r="H16" s="16"/>
      <c r="I16" s="15" t="str">
        <f aca="false">IF(H16="","",E16*H16)</f>
        <v/>
      </c>
      <c r="J16" s="17" t="str">
        <f aca="false">IF(OR(H16="",F16=""),"",H16/F16)</f>
        <v/>
      </c>
      <c r="K16" s="18"/>
    </row>
    <row r="17" customFormat="false" ht="87.75" hidden="false" customHeight="true" outlineLevel="0" collapsed="false">
      <c r="A17" s="12" t="n">
        <v>1</v>
      </c>
      <c r="B17" s="12" t="s">
        <v>37</v>
      </c>
      <c r="C17" s="13" t="s">
        <v>38</v>
      </c>
      <c r="D17" s="12" t="s">
        <v>39</v>
      </c>
      <c r="E17" s="14" t="n">
        <v>30</v>
      </c>
      <c r="F17" s="15" t="n">
        <v>177.27</v>
      </c>
      <c r="G17" s="15" t="n">
        <f aca="false">IF(F17="","",E17*F17)</f>
        <v>5318.1</v>
      </c>
      <c r="H17" s="16"/>
      <c r="I17" s="15" t="str">
        <f aca="false">IF(H17="","",E17*H17)</f>
        <v/>
      </c>
      <c r="J17" s="17" t="str">
        <f aca="false">IF(OR(H17="",F17=""),"",H17/F17)</f>
        <v/>
      </c>
      <c r="K17" s="18"/>
    </row>
    <row r="18" customFormat="false" ht="129.75" hidden="false" customHeight="true" outlineLevel="0" collapsed="false">
      <c r="A18" s="12" t="n">
        <v>1</v>
      </c>
      <c r="B18" s="12" t="s">
        <v>40</v>
      </c>
      <c r="C18" s="13" t="s">
        <v>41</v>
      </c>
      <c r="D18" s="12" t="s">
        <v>39</v>
      </c>
      <c r="E18" s="14" t="n">
        <v>50</v>
      </c>
      <c r="F18" s="15" t="n">
        <v>178.91</v>
      </c>
      <c r="G18" s="15" t="n">
        <f aca="false">IF(F18="","",E18*F18)</f>
        <v>8945.5</v>
      </c>
      <c r="H18" s="16"/>
      <c r="I18" s="15" t="str">
        <f aca="false">IF(H18="","",E18*H18)</f>
        <v/>
      </c>
      <c r="J18" s="17" t="str">
        <f aca="false">IF(OR(H18="",F18=""),"",H18/F18)</f>
        <v/>
      </c>
      <c r="K18" s="18"/>
    </row>
    <row r="19" customFormat="false" ht="129.75" hidden="false" customHeight="true" outlineLevel="0" collapsed="false">
      <c r="A19" s="12" t="n">
        <v>1</v>
      </c>
      <c r="B19" s="12" t="s">
        <v>42</v>
      </c>
      <c r="C19" s="13" t="s">
        <v>43</v>
      </c>
      <c r="D19" s="12" t="s">
        <v>39</v>
      </c>
      <c r="E19" s="14" t="n">
        <v>10</v>
      </c>
      <c r="F19" s="15" t="n">
        <v>178.91</v>
      </c>
      <c r="G19" s="15" t="n">
        <f aca="false">IF(F19="","",E19*F19)</f>
        <v>1789.1</v>
      </c>
      <c r="H19" s="16"/>
      <c r="I19" s="15" t="str">
        <f aca="false">IF(H19="","",E19*H19)</f>
        <v/>
      </c>
      <c r="J19" s="17" t="str">
        <f aca="false">IF(OR(H19="",F19=""),"",H19/F19)</f>
        <v/>
      </c>
      <c r="K19" s="18"/>
    </row>
    <row r="20" customFormat="false" ht="102" hidden="false" customHeight="true" outlineLevel="0" collapsed="false">
      <c r="A20" s="12" t="n">
        <v>1</v>
      </c>
      <c r="B20" s="12" t="s">
        <v>44</v>
      </c>
      <c r="C20" s="13" t="s">
        <v>45</v>
      </c>
      <c r="D20" s="12" t="s">
        <v>39</v>
      </c>
      <c r="E20" s="14" t="n">
        <v>12</v>
      </c>
      <c r="F20" s="15" t="n">
        <v>178.68</v>
      </c>
      <c r="G20" s="15" t="n">
        <f aca="false">IF(F20="","",E20*F20)</f>
        <v>2144.16</v>
      </c>
      <c r="H20" s="16"/>
      <c r="I20" s="15" t="str">
        <f aca="false">IF(H20="","",E20*H20)</f>
        <v/>
      </c>
      <c r="J20" s="17" t="str">
        <f aca="false">IF(OR(H20="",F20=""),"",H20/F20)</f>
        <v/>
      </c>
      <c r="K20" s="18"/>
    </row>
    <row r="21" customFormat="false" ht="87.75" hidden="false" customHeight="true" outlineLevel="0" collapsed="false">
      <c r="A21" s="12" t="n">
        <v>1</v>
      </c>
      <c r="B21" s="12" t="s">
        <v>46</v>
      </c>
      <c r="C21" s="13" t="s">
        <v>47</v>
      </c>
      <c r="D21" s="12" t="s">
        <v>39</v>
      </c>
      <c r="E21" s="14" t="n">
        <v>20</v>
      </c>
      <c r="F21" s="15" t="n">
        <v>40.87</v>
      </c>
      <c r="G21" s="15" t="n">
        <f aca="false">IF(F21="","",E21*F21)</f>
        <v>817.4</v>
      </c>
      <c r="H21" s="16"/>
      <c r="I21" s="15" t="str">
        <f aca="false">IF(H21="","",E21*H21)</f>
        <v/>
      </c>
      <c r="J21" s="17" t="str">
        <f aca="false">IF(OR(H21="",F21=""),"",H21/F21)</f>
        <v/>
      </c>
      <c r="K21" s="18"/>
    </row>
    <row r="22" customFormat="false" ht="87.75" hidden="false" customHeight="true" outlineLevel="0" collapsed="false">
      <c r="A22" s="12" t="n">
        <v>1</v>
      </c>
      <c r="B22" s="12" t="s">
        <v>48</v>
      </c>
      <c r="C22" s="13" t="s">
        <v>49</v>
      </c>
      <c r="D22" s="12" t="s">
        <v>39</v>
      </c>
      <c r="E22" s="14" t="n">
        <v>9</v>
      </c>
      <c r="F22" s="15" t="n">
        <v>40.87</v>
      </c>
      <c r="G22" s="15" t="n">
        <f aca="false">IF(F22="","",E22*F22)</f>
        <v>367.83</v>
      </c>
      <c r="H22" s="16"/>
      <c r="I22" s="15" t="str">
        <f aca="false">IF(H22="","",E22*H22)</f>
        <v/>
      </c>
      <c r="J22" s="17" t="str">
        <f aca="false">IF(OR(H22="",F22=""),"",H22/F22)</f>
        <v/>
      </c>
      <c r="K22" s="18"/>
    </row>
    <row r="23" customFormat="false" ht="144" hidden="false" customHeight="true" outlineLevel="0" collapsed="false">
      <c r="A23" s="12" t="n">
        <v>1</v>
      </c>
      <c r="B23" s="12" t="s">
        <v>50</v>
      </c>
      <c r="C23" s="13" t="s">
        <v>51</v>
      </c>
      <c r="D23" s="12" t="s">
        <v>39</v>
      </c>
      <c r="E23" s="14" t="n">
        <v>30</v>
      </c>
      <c r="F23" s="15" t="n">
        <v>334.27</v>
      </c>
      <c r="G23" s="15" t="n">
        <f aca="false">IF(F23="","",E23*F23)</f>
        <v>10028.1</v>
      </c>
      <c r="H23" s="16"/>
      <c r="I23" s="15" t="str">
        <f aca="false">IF(H23="","",E23*H23)</f>
        <v/>
      </c>
      <c r="J23" s="17" t="str">
        <f aca="false">IF(OR(H23="",F23=""),"",H23/F23)</f>
        <v/>
      </c>
      <c r="K23" s="18"/>
    </row>
    <row r="24" customFormat="false" ht="129.75" hidden="false" customHeight="true" outlineLevel="0" collapsed="false">
      <c r="A24" s="12" t="n">
        <v>1</v>
      </c>
      <c r="B24" s="12" t="s">
        <v>52</v>
      </c>
      <c r="C24" s="13" t="s">
        <v>53</v>
      </c>
      <c r="D24" s="12" t="s">
        <v>39</v>
      </c>
      <c r="E24" s="14" t="n">
        <v>4</v>
      </c>
      <c r="F24" s="15" t="n">
        <v>334.27</v>
      </c>
      <c r="G24" s="15" t="n">
        <f aca="false">IF(F24="","",E24*F24)</f>
        <v>1337.08</v>
      </c>
      <c r="H24" s="16"/>
      <c r="I24" s="15" t="str">
        <f aca="false">IF(H24="","",E24*H24)</f>
        <v/>
      </c>
      <c r="J24" s="17" t="str">
        <f aca="false">IF(OR(H24="",F24=""),"",H24/F24)</f>
        <v/>
      </c>
      <c r="K24" s="18"/>
    </row>
    <row r="25" customFormat="false" ht="31.5" hidden="false" customHeight="true" outlineLevel="0" collapsed="false">
      <c r="A25" s="12" t="n">
        <v>1</v>
      </c>
      <c r="B25" s="12" t="s">
        <v>54</v>
      </c>
      <c r="C25" s="13" t="s">
        <v>55</v>
      </c>
      <c r="D25" s="12" t="s">
        <v>34</v>
      </c>
      <c r="E25" s="14" t="n">
        <v>30</v>
      </c>
      <c r="F25" s="15" t="n">
        <v>39.27</v>
      </c>
      <c r="G25" s="15" t="n">
        <f aca="false">IF(F25="","",E25*F25)</f>
        <v>1178.1</v>
      </c>
      <c r="H25" s="16"/>
      <c r="I25" s="15" t="str">
        <f aca="false">IF(H25="","",E25*H25)</f>
        <v/>
      </c>
      <c r="J25" s="17" t="str">
        <f aca="false">IF(OR(H25="",F25=""),"",H25/F25)</f>
        <v/>
      </c>
      <c r="K25" s="18"/>
    </row>
    <row r="26" customFormat="false" ht="15" hidden="false" customHeight="false" outlineLevel="0" collapsed="false">
      <c r="A26" s="19"/>
      <c r="B26" s="19"/>
      <c r="C26" s="20" t="s">
        <v>56</v>
      </c>
      <c r="D26" s="19"/>
      <c r="E26" s="19"/>
      <c r="F26" s="19"/>
      <c r="G26" s="21" t="n">
        <f aca="false">SUM(G15:G25)</f>
        <v>34320.87</v>
      </c>
      <c r="H26" s="19"/>
      <c r="I26" s="21" t="n">
        <f aca="false">SUM(I15:I25)</f>
        <v>0</v>
      </c>
      <c r="J26" s="22" t="str">
        <f aca="false">IF(OR(I26=0,G26=0),"",I26/G26)</f>
        <v/>
      </c>
      <c r="K26" s="19"/>
    </row>
    <row r="27" customFormat="false" ht="60" hidden="false" customHeight="true" outlineLevel="0" collapsed="false">
      <c r="A27" s="12" t="n">
        <v>2</v>
      </c>
      <c r="B27" s="12" t="s">
        <v>57</v>
      </c>
      <c r="C27" s="13" t="s">
        <v>58</v>
      </c>
      <c r="D27" s="12" t="s">
        <v>39</v>
      </c>
      <c r="E27" s="14" t="n">
        <v>20</v>
      </c>
      <c r="F27" s="15" t="n">
        <v>7.17</v>
      </c>
      <c r="G27" s="15" t="n">
        <f aca="false">IF(F27="","",E27*F27)</f>
        <v>143.4</v>
      </c>
      <c r="H27" s="16"/>
      <c r="I27" s="15" t="str">
        <f aca="false">IF(H27="","",E27*H27)</f>
        <v/>
      </c>
      <c r="J27" s="17" t="str">
        <f aca="false">IF(OR(H27="",F27=""),"",H27/F27)</f>
        <v/>
      </c>
      <c r="K27" s="18"/>
    </row>
    <row r="28" customFormat="false" ht="15" hidden="false" customHeight="false" outlineLevel="0" collapsed="false">
      <c r="A28" s="19"/>
      <c r="B28" s="19"/>
      <c r="C28" s="20" t="s">
        <v>59</v>
      </c>
      <c r="D28" s="19"/>
      <c r="E28" s="19"/>
      <c r="F28" s="19"/>
      <c r="G28" s="21" t="n">
        <f aca="false">SUM(G27:G27)</f>
        <v>143.4</v>
      </c>
      <c r="H28" s="19"/>
      <c r="I28" s="21" t="n">
        <f aca="false">SUM(I27:I27)</f>
        <v>0</v>
      </c>
      <c r="J28" s="22" t="str">
        <f aca="false">IF(OR(I28=0,G28=0),"",I28/G28)</f>
        <v/>
      </c>
      <c r="K28" s="19"/>
    </row>
    <row r="29" customFormat="false" ht="87.75" hidden="false" customHeight="true" outlineLevel="0" collapsed="false">
      <c r="A29" s="12" t="n">
        <v>3</v>
      </c>
      <c r="B29" s="12" t="s">
        <v>60</v>
      </c>
      <c r="C29" s="13" t="s">
        <v>61</v>
      </c>
      <c r="D29" s="12" t="s">
        <v>39</v>
      </c>
      <c r="E29" s="14" t="n">
        <v>8</v>
      </c>
      <c r="F29" s="15" t="n">
        <v>588.93</v>
      </c>
      <c r="G29" s="15" t="n">
        <f aca="false">IF(F29="","",E29*F29)</f>
        <v>4711.44</v>
      </c>
      <c r="H29" s="16"/>
      <c r="I29" s="15" t="str">
        <f aca="false">IF(H29="","",E29*H29)</f>
        <v/>
      </c>
      <c r="J29" s="17" t="str">
        <f aca="false">IF(OR(H29="",F29=""),"",H29/F29)</f>
        <v/>
      </c>
      <c r="K29" s="18"/>
    </row>
    <row r="30" customFormat="false" ht="15" hidden="false" customHeight="false" outlineLevel="0" collapsed="false">
      <c r="A30" s="19"/>
      <c r="B30" s="19"/>
      <c r="C30" s="20" t="s">
        <v>62</v>
      </c>
      <c r="D30" s="19"/>
      <c r="E30" s="19"/>
      <c r="F30" s="19"/>
      <c r="G30" s="21" t="n">
        <f aca="false">SUM(G29:G29)</f>
        <v>4711.44</v>
      </c>
      <c r="H30" s="19"/>
      <c r="I30" s="21" t="n">
        <f aca="false">SUM(I29:I29)</f>
        <v>0</v>
      </c>
      <c r="J30" s="22" t="str">
        <f aca="false">IF(OR(I30=0,G30=0),"",I30/G30)</f>
        <v/>
      </c>
      <c r="K30" s="19"/>
    </row>
    <row r="31" customFormat="false" ht="60" hidden="false" customHeight="true" outlineLevel="0" collapsed="false">
      <c r="A31" s="12" t="n">
        <v>4</v>
      </c>
      <c r="B31" s="12" t="s">
        <v>63</v>
      </c>
      <c r="C31" s="13" t="s">
        <v>64</v>
      </c>
      <c r="D31" s="12" t="s">
        <v>65</v>
      </c>
      <c r="E31" s="14" t="n">
        <v>16</v>
      </c>
      <c r="F31" s="15" t="n">
        <v>87.2</v>
      </c>
      <c r="G31" s="15" t="n">
        <f aca="false">IF(F31="","",E31*F31)</f>
        <v>1395.2</v>
      </c>
      <c r="H31" s="16"/>
      <c r="I31" s="15" t="str">
        <f aca="false">IF(H31="","",E31*H31)</f>
        <v/>
      </c>
      <c r="J31" s="17" t="str">
        <f aca="false">IF(OR(H31="",F31=""),"",H31/F31)</f>
        <v/>
      </c>
      <c r="K31" s="18"/>
    </row>
    <row r="32" customFormat="false" ht="15" hidden="false" customHeight="false" outlineLevel="0" collapsed="false">
      <c r="A32" s="19"/>
      <c r="B32" s="19"/>
      <c r="C32" s="20" t="s">
        <v>66</v>
      </c>
      <c r="D32" s="19"/>
      <c r="E32" s="19"/>
      <c r="F32" s="19"/>
      <c r="G32" s="21" t="n">
        <f aca="false">SUM(G31:G31)</f>
        <v>1395.2</v>
      </c>
      <c r="H32" s="19"/>
      <c r="I32" s="21" t="n">
        <f aca="false">SUM(I31:I31)</f>
        <v>0</v>
      </c>
      <c r="J32" s="22" t="str">
        <f aca="false">IF(OR(I32=0,G32=0),"",I32/G32)</f>
        <v/>
      </c>
      <c r="K32" s="19"/>
    </row>
    <row r="33" customFormat="false" ht="87.75" hidden="false" customHeight="true" outlineLevel="0" collapsed="false">
      <c r="A33" s="12" t="n">
        <v>5</v>
      </c>
      <c r="B33" s="12" t="s">
        <v>67</v>
      </c>
      <c r="C33" s="13" t="s">
        <v>68</v>
      </c>
      <c r="D33" s="12" t="s">
        <v>69</v>
      </c>
      <c r="E33" s="14" t="n">
        <v>20</v>
      </c>
      <c r="F33" s="15" t="n">
        <v>192</v>
      </c>
      <c r="G33" s="15" t="n">
        <f aca="false">IF(F33="","",E33*F33)</f>
        <v>3840</v>
      </c>
      <c r="H33" s="16"/>
      <c r="I33" s="15" t="str">
        <f aca="false">IF(H33="","",E33*H33)</f>
        <v/>
      </c>
      <c r="J33" s="17" t="str">
        <f aca="false">IF(OR(H33="",F33=""),"",H33/F33)</f>
        <v/>
      </c>
      <c r="K33" s="18"/>
    </row>
    <row r="34" customFormat="false" ht="73.5" hidden="false" customHeight="true" outlineLevel="0" collapsed="false">
      <c r="A34" s="12" t="n">
        <v>5</v>
      </c>
      <c r="B34" s="12" t="s">
        <v>70</v>
      </c>
      <c r="C34" s="13" t="s">
        <v>71</v>
      </c>
      <c r="D34" s="12" t="s">
        <v>39</v>
      </c>
      <c r="E34" s="14" t="n">
        <v>20</v>
      </c>
      <c r="F34" s="15" t="n">
        <v>126.61</v>
      </c>
      <c r="G34" s="15" t="n">
        <f aca="false">IF(F34="","",E34*F34)</f>
        <v>2532.2</v>
      </c>
      <c r="H34" s="16"/>
      <c r="I34" s="15" t="str">
        <f aca="false">IF(H34="","",E34*H34)</f>
        <v/>
      </c>
      <c r="J34" s="17" t="str">
        <f aca="false">IF(OR(H34="",F34=""),"",H34/F34)</f>
        <v/>
      </c>
      <c r="K34" s="18"/>
    </row>
    <row r="35" customFormat="false" ht="15" hidden="false" customHeight="false" outlineLevel="0" collapsed="false">
      <c r="A35" s="19"/>
      <c r="B35" s="19"/>
      <c r="C35" s="20" t="s">
        <v>72</v>
      </c>
      <c r="D35" s="19"/>
      <c r="E35" s="19"/>
      <c r="F35" s="19"/>
      <c r="G35" s="21" t="n">
        <f aca="false">SUM(G33:G34)</f>
        <v>6372.2</v>
      </c>
      <c r="H35" s="19"/>
      <c r="I35" s="21" t="n">
        <f aca="false">SUM(I33:I34)</f>
        <v>0</v>
      </c>
      <c r="J35" s="22" t="str">
        <f aca="false">IF(OR(I35=0,G35=0),"",I35/G35)</f>
        <v/>
      </c>
      <c r="K35" s="19"/>
    </row>
    <row r="36" customFormat="false" ht="15" hidden="false" customHeight="false" outlineLevel="0" collapsed="false">
      <c r="A36" s="23"/>
      <c r="B36" s="23"/>
      <c r="C36" s="24" t="s">
        <v>73</v>
      </c>
      <c r="D36" s="23"/>
      <c r="E36" s="23"/>
      <c r="F36" s="23"/>
      <c r="G36" s="25" t="n">
        <f aca="false">G26+G28+G30+G32+G35</f>
        <v>46943.11</v>
      </c>
      <c r="H36" s="23"/>
      <c r="I36" s="25" t="n">
        <f aca="false">I26+I28+I30+I32+I35</f>
        <v>0</v>
      </c>
      <c r="J36" s="26" t="str">
        <f aca="false">IF(OR(I36=0,G36=0),"",I36/G36)</f>
        <v/>
      </c>
      <c r="K36" s="23"/>
    </row>
  </sheetData>
  <conditionalFormatting sqref="J15:J36">
    <cfRule type="expression" priority="2" aboveAverage="0" equalAverage="0" bottom="0" percent="0" rank="0" text="" dxfId="0">
      <formula>AND(ISNUMBER(J15),J15&gt;=1)</formula>
    </cfRule>
    <cfRule type="expression" priority="3" aboveAverage="0" equalAverage="0" bottom="0" percent="0" rank="0" text="" dxfId="1">
      <formula>AND(ISNUMBER(J15),J15&gt;=0.9,J15&lt;1)</formula>
    </cfRule>
  </conditionalFormatting>
  <dataValidations count="1">
    <dataValidation allowBlank="true" error="Digite o valor unitário em reais, só números (ex.: 45,90)." errorStyle="stop" errorTitle="Valor inválido" operator="greaterThanOrEqual" showDropDown="false" showErrorMessage="false" showInputMessage="false" sqref="H15:H25 H27 H29 H31 H33:H34"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s>
  <sheetData>
    <row r="1" customFormat="false" ht="15" hidden="false" customHeight="false" outlineLevel="0" collapsed="false">
      <c r="A1" s="27" t="s">
        <v>74</v>
      </c>
      <c r="B1" s="28" t="s">
        <v>75</v>
      </c>
    </row>
    <row r="2" customFormat="false" ht="15" hidden="false" customHeight="false" outlineLevel="0" collapsed="false">
      <c r="A2" s="27" t="s">
        <v>76</v>
      </c>
      <c r="B2" s="28" t="s">
        <v>77</v>
      </c>
    </row>
    <row r="3" customFormat="false" ht="15" hidden="false" customHeight="false" outlineLevel="0" collapsed="false">
      <c r="A3" s="27" t="s">
        <v>78</v>
      </c>
      <c r="B3" s="28" t="s">
        <v>5</v>
      </c>
    </row>
    <row r="4" customFormat="false" ht="15" hidden="false" customHeight="false" outlineLevel="0" collapsed="false">
      <c r="A4" s="27" t="s">
        <v>79</v>
      </c>
      <c r="B4" s="28" t="s">
        <v>80</v>
      </c>
    </row>
    <row r="5" customFormat="false" ht="15" hidden="false" customHeight="false" outlineLevel="0" collapsed="false">
      <c r="A5" s="27" t="s">
        <v>81</v>
      </c>
      <c r="B5" s="28" t="s">
        <v>11</v>
      </c>
    </row>
    <row r="6" customFormat="false" ht="15" hidden="false" customHeight="false" outlineLevel="0" collapsed="false">
      <c r="A6" s="27" t="s">
        <v>82</v>
      </c>
      <c r="B6" s="28" t="s">
        <v>83</v>
      </c>
    </row>
    <row r="7" customFormat="false" ht="15" hidden="false" customHeight="false" outlineLevel="0" collapsed="false">
      <c r="A7" s="27" t="s">
        <v>84</v>
      </c>
      <c r="B7" s="28" t="s">
        <v>85</v>
      </c>
    </row>
    <row r="8" customFormat="false" ht="15" hidden="false" customHeight="false" outlineLevel="0" collapsed="false">
      <c r="A8" s="27" t="s">
        <v>86</v>
      </c>
      <c r="B8" s="28"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2026-09-30T11:46:00Z</dcterms:created>
  <dc:creator>openpyxl</dc:creator>
  <dc:description/>
  <dc:language>en-US</dc:language>
  <cp:lastModifiedBy/>
  <dcterms:modified xsi:type="dcterms:W3CDTF">2026-09-30T11:46:00Z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