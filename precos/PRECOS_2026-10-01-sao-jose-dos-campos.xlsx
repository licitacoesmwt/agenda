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eços" sheetId="1" state="visible" r:id="rId3"/>
    <sheet name="Controle" sheetId="2" state="hidden" r:id="rId4"/>
  </sheets>
  <definedNames>
    <definedName function="false" hidden="false" localSheetId="0" name="_xlnm.Print_Titles" vbProcedure="false">Preços!$14:$14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<sst xmlns="http://schemas.openxmlformats.org/spreadsheetml/2006/main" count="100" uniqueCount="75">
  <si>
    <t xml:space="preserve">TABELA NEGOCIAÇÃO PREGÃO - MENOR PREÇO LOTE</t>
  </si>
  <si>
    <t xml:space="preserve">Órgão</t>
  </si>
  <si>
    <t xml:space="preserve">Prefeitura de São José dos Campos — Secretaria de Mobilidade Urbana — uniforme dos agentes de mobilidade</t>
  </si>
  <si>
    <t xml:space="preserve">Total de entrada</t>
  </si>
  <si>
    <t xml:space="preserve">Processo</t>
  </si>
  <si>
    <t xml:space="preserve">Pregão Eletrônico nº 195/SGAF/2026 — Proc. Adm. digital 97833/2026</t>
  </si>
  <si>
    <t xml:space="preserve">Total mínimo</t>
  </si>
  <si>
    <t xml:space="preserve">Sessão</t>
  </si>
  <si>
    <t xml:space="preserve">quinta-feira, 01/10/2026 às 08:30 (Brasília)</t>
  </si>
  <si>
    <t xml:space="preserve">Mínimo ÷ entrada</t>
  </si>
  <si>
    <t xml:space="preserve">Portal</t>
  </si>
  <si>
    <t xml:space="preserve">BR Conectado — Portal de Compras da PMSJC (licitacaosaojosedoscampos.com.br)</t>
  </si>
  <si>
    <t xml:space="preserve">Itens preenchidos</t>
  </si>
  <si>
    <t xml:space="preserve">Critério</t>
  </si>
  <si>
    <t xml:space="preserve">Menor preço global do lote (lote único, 25 itens) — disputa aberta, lances de R$ 43,50; preço unitário não pode passar do referencial</t>
  </si>
  <si>
    <t xml:space="preserve">Participação</t>
  </si>
  <si>
    <t xml:space="preserve">Ampla concorrência</t>
  </si>
  <si>
    <t xml:space="preserve">Preencher até</t>
  </si>
  <si>
    <t xml:space="preserve">30/09/2026 (hoje) às 17h</t>
  </si>
  <si>
    <t xml:space="preserve">Preencha só a coluna amarela VALOR MÍNIMO (preço unitário). Totais e percentuais se calculam sozinhos. Linha vermelha em MÍN. ÷ ENTRADA = mínimo acima do valor de entrada do edital.</t>
  </si>
  <si>
    <t xml:space="preserve">Terminou? Salve com o mesmo nome de arquivo e envie para o Thiago.</t>
  </si>
  <si>
    <t xml:space="preserve">LOTE</t>
  </si>
  <si>
    <t xml:space="preserve">Nº ITEM</t>
  </si>
  <si>
    <t xml:space="preserve">ITEM</t>
  </si>
  <si>
    <t xml:space="preserve">UNID.</t>
  </si>
  <si>
    <t xml:space="preserve">QTDE</t>
  </si>
  <si>
    <t xml:space="preserve">VALOR DE ENTRADA</t>
  </si>
  <si>
    <t xml:space="preserve">TOTAL ENTRADA</t>
  </si>
  <si>
    <t xml:space="preserve">VALOR MÍNIMO</t>
  </si>
  <si>
    <t xml:space="preserve">TOTAL MÍNIMO</t>
  </si>
  <si>
    <t xml:space="preserve">MÍN. ÷ ENTRADA</t>
  </si>
  <si>
    <t xml:space="preserve">OBSERVAÇÃO</t>
  </si>
  <si>
    <t xml:space="preserve">CINTO DE NYLON MODELO MILITAR, COR CINZA (PANTONE 19-3908), 3 CM X 120 CM, C/ REGULAGEM; FIVELA METÁLICA PRATA C/ BRASÃO DE SÃO JOSÉ DOS CAMPOS EM ALTO RELEVO</t>
  </si>
  <si>
    <t xml:space="preserve">PC</t>
  </si>
  <si>
    <t xml:space="preserve">CALÇA OPERACIONAL PADRÃO STU EM TECIDO TECHNO RIP STOP 70% POLIÉSTER / 30% ALGODÃO, 210 G/M², FPU 50, COR CINZA MÉDIO ESCURO (PANTONE 19-3908 NINE IRON); CÓS INTEIRO, 8 PASSANTES, ZÍPER METÁLICO E BOTÃO; REFORÇOS NOS JOELHOS E TRASEIRO; 2 BOLSOS FACA FORRADOS, 2 TRASEIROS EMBUTIDOS C/ VIVO, 2 LATERAIS C/ PORTINHOLA E ZÍPER; 2 FAIXAS RETRORREFLETIVAS 5 CM EM 360° (NBR 15292 CLASSE 3) — Nº 42</t>
  </si>
  <si>
    <t xml:space="preserve">UN</t>
  </si>
  <si>
    <t xml:space="preserve">CALÇA OPERACIONAL PADRÃO STU EM TECIDO TECHNO RIP STOP 70% POLIÉSTER / 30% ALGODÃO, 210 G/M², FPU 50, COR CINZA MÉDIO ESCURO (PANTONE 19-3908 NINE IRON); CÓS INTEIRO, 8 PASSANTES, ZÍPER METÁLICO E BOTÃO; REFORÇOS NOS JOELHOS E TRASEIRO; 2 BOLSOS FACA FORRADOS, 2 TRASEIROS EMBUTIDOS C/ VIVO, 2 LATERAIS C/ PORTINHOLA E ZÍPER; 2 FAIXAS RETRORREFLETIVAS 5 CM EM 360° (NBR 15292 CLASSE 3) — Nº 44</t>
  </si>
  <si>
    <t xml:space="preserve">CALÇA OPERACIONAL PADRÃO STU EM TECIDO TECHNO RIP STOP 70% POLIÉSTER / 30% ALGODÃO, 210 G/M², FPU 50, COR CINZA MÉDIO ESCURO (PANTONE 19-3908 NINE IRON); CÓS INTEIRO, 8 PASSANTES, ZÍPER METÁLICO E BOTÃO; REFORÇOS NOS JOELHOS E TRASEIRO; 2 BOLSOS FACA FORRADOS, 2 TRASEIROS EMBUTIDOS C/ VIVO, 2 LATERAIS C/ PORTINHOLA E ZÍPER; 2 FAIXAS RETRORREFLETIVAS 5 CM EM 360° (NBR 15292 CLASSE 3) — Nº 46</t>
  </si>
  <si>
    <t xml:space="preserve">CALÇA OPERACIONAL PADRÃO STU EM TECIDO TECHNO RIP STOP 70% POLIÉSTER / 30% ALGODÃO, 210 G/M², FPU 50, COR CINZA MÉDIO ESCURO (PANTONE 19-3908 NINE IRON); CÓS INTEIRO, 8 PASSANTES, ZÍPER METÁLICO E BOTÃO; REFORÇOS NOS JOELHOS E TRASEIRO; 2 BOLSOS FACA FORRADOS, 2 TRASEIROS EMBUTIDOS C/ VIVO, 2 LATERAIS C/ PORTINHOLA E ZÍPER; 2 FAIXAS RETRORREFLETIVAS 5 CM EM 360° (NBR 15292 CLASSE 3) — Nº 48</t>
  </si>
  <si>
    <t xml:space="preserve">CALÇA OPERACIONAL PADRÃO STU EM TECIDO TECHNO RIP STOP 70% POLIÉSTER / 30% ALGODÃO, 210 G/M², FPU 50, COR CINZA MÉDIO ESCURO (PANTONE 19-3908 NINE IRON); CÓS INTEIRO, 8 PASSANTES, ZÍPER METÁLICO E BOTÃO; REFORÇOS NOS JOELHOS E TRASEIRO; 2 BOLSOS FACA FORRADOS, 2 TRASEIROS EMBUTIDOS C/ VIVO, 2 LATERAIS C/ PORTINHOLA E ZÍPER; 2 FAIXAS RETRORREFLETIVAS 5 CM EM 360° (NBR 15292 CLASSE 3) — Nº 50</t>
  </si>
  <si>
    <t xml:space="preserve">CALÇA OPERACIONAL PADRÃO STU EM TECIDO TECHNO RIP STOP 70% POLIÉSTER / 30% ALGODÃO, 210 G/M², FPU 50, COR CINZA MÉDIO ESCURO (PANTONE 19-3908 NINE IRON); CÓS INTEIRO, 8 PASSANTES, ZÍPER METÁLICO E BOTÃO; REFORÇOS NOS JOELHOS E TRASEIRO; 2 BOLSOS FACA FORRADOS, 2 TRASEIROS EMBUTIDOS C/ VIVO, 2 LATERAIS C/ PORTINHOLA E ZÍPER; 2 FAIXAS RETRORREFLETIVAS 5 CM EM 360° (NBR 15292 CLASSE 3) — Nº 54</t>
  </si>
  <si>
    <t xml:space="preserve">CALÇA OPERACIONAL PADRÃO STU EM TECIDO TECHNO RIP STOP 70% POLIÉSTER / 30% ALGODÃO, 210 G/M², FPU 50, COR CINZA MÉDIO ESCURO (PANTONE 19-3908 NINE IRON); CÓS INTEIRO, 8 PASSANTES, ZÍPER METÁLICO E BOTÃO; REFORÇOS NOS JOELHOS E TRASEIRO; 2 BOLSOS FACA FORRADOS, 2 TRASEIROS EMBUTIDOS C/ VIVO, 2 LATERAIS C/ PORTINHOLA E ZÍPER; 2 FAIXAS RETRORREFLETIVAS 5 CM EM 360° (NBR 15292 CLASSE 3) — Nº 56, 58 E 60</t>
  </si>
  <si>
    <t xml:space="preserve">CAMISA SOCIAL MANGA CURTA EM RIP STOP 70% POLIÉSTER / 30% ALGODÃO, FPU 50, BICOLOR CINZA (PANTONE 19-3908) + AMARELO FLUORESCENTE (NBR 15292); COLARINHO C/ PÉ DE GOLA, BOTÕES; BOLSO NO PEITO C/ PORTINHOLA; VELCRO P/ TARJETA; 4 FAIXAS RETRORREFLETIVAS 5 CM (CLASSE 3); BORDADOS: "AGENTE DA MOBILIDADE" NAS COSTAS, BANDEIRAS DE SJC E DO BRASIL NAS MANGAS, BRASÃO + "PREFEITURA SÃO JOSÉ DOS CAMPOS" NO PEITO; MODELAGEM MASC./FEM. — TAM. P</t>
  </si>
  <si>
    <t xml:space="preserve">CAMISA SOCIAL MANGA CURTA EM RIP STOP 70% POLIÉSTER / 30% ALGODÃO, FPU 50, BICOLOR CINZA (PANTONE 19-3908) + AMARELO FLUORESCENTE (NBR 15292); COLARINHO C/ PÉ DE GOLA, BOTÕES; BOLSO NO PEITO C/ PORTINHOLA; VELCRO P/ TARJETA; 4 FAIXAS RETRORREFLETIVAS 5 CM (CLASSE 3); BORDADOS: "AGENTE DA MOBILIDADE" NAS COSTAS, BANDEIRAS DE SJC E DO BRASIL NAS MANGAS, BRASÃO + "PREFEITURA SÃO JOSÉ DOS CAMPOS" NO PEITO; MODELAGEM MASC./FEM. — TAM. M</t>
  </si>
  <si>
    <t xml:space="preserve">CAMISA SOCIAL MANGA CURTA EM RIP STOP 70% POLIÉSTER / 30% ALGODÃO, FPU 50, BICOLOR CINZA (PANTONE 19-3908) + AMARELO FLUORESCENTE (NBR 15292); COLARINHO C/ PÉ DE GOLA, BOTÕES; BOLSO NO PEITO C/ PORTINHOLA; VELCRO P/ TARJETA; 4 FAIXAS RETRORREFLETIVAS 5 CM (CLASSE 3); BORDADOS: "AGENTE DA MOBILIDADE" NAS COSTAS, BANDEIRAS DE SJC E DO BRASIL NAS MANGAS, BRASÃO + "PREFEITURA SÃO JOSÉ DOS CAMPOS" NO PEITO; MODELAGEM MASC./FEM. — TAM. G</t>
  </si>
  <si>
    <t xml:space="preserve">CAMISA SOCIAL MANGA CURTA EM RIP STOP 70% POLIÉSTER / 30% ALGODÃO, FPU 50, BICOLOR CINZA (PANTONE 19-3908) + AMARELO FLUORESCENTE (NBR 15292); COLARINHO C/ PÉ DE GOLA, BOTÕES; BOLSO NO PEITO C/ PORTINHOLA; VELCRO P/ TARJETA; 4 FAIXAS RETRORREFLETIVAS 5 CM (CLASSE 3); BORDADOS: "AGENTE DA MOBILIDADE" NAS COSTAS, BANDEIRAS DE SJC E DO BRASIL NAS MANGAS, BRASÃO + "PREFEITURA SÃO JOSÉ DOS CAMPOS" NO PEITO; MODELAGEM MASC./FEM. — TAM. GG</t>
  </si>
  <si>
    <t xml:space="preserve">CAMISA SOCIAL MANGA CURTA EM RIP STOP 70% POLIÉSTER / 30% ALGODÃO, FPU 50, BICOLOR CINZA (PANTONE 19-3908) + AMARELO FLUORESCENTE (NBR 15292); COLARINHO C/ PÉ DE GOLA, BOTÕES; BOLSO NO PEITO C/ PORTINHOLA; VELCRO P/ TARJETA; 4 FAIXAS RETRORREFLETIVAS 5 CM (CLASSE 3); BORDADOS: "AGENTE DA MOBILIDADE" NAS COSTAS, BANDEIRAS DE SJC E DO BRASIL NAS MANGAS, BRASÃO + "PREFEITURA SÃO JOSÉ DOS CAMPOS" NO PEITO; MODELAGEM MASC./FEM. — TAM. XGG</t>
  </si>
  <si>
    <t xml:space="preserve">CAMISA SOCIAL MANGA LONGA EM RIP STOP 70% POLIÉSTER / 30% ALGODÃO, FPU 50, BICOLOR CINZA (PANTONE 19-3908) + AMARELO FLUORESCENTE (NBR 15292); COLARINHO C/ PÉ DE GOLA, BOTÕES; BOLSO NO PEITO C/ PORTINHOLA; VELCRO P/ TARJETA; 4 FAIXAS RETRORREFLETIVAS 5 CM (CLASSE 3); BORDADOS: "AGENTE DA MOBILIDADE" NAS COSTAS, BANDEIRAS DE SJC E DO BRASIL NAS MANGAS, BRASÃO + "PREFEITURA SÃO JOSÉ DOS CAMPOS" NO PEITO; MODELAGEM MASC./FEM. — TAM. P</t>
  </si>
  <si>
    <t xml:space="preserve">CAMISA SOCIAL MANGA LONGA EM RIP STOP 70% POLIÉSTER / 30% ALGODÃO, FPU 50, BICOLOR CINZA (PANTONE 19-3908) + AMARELO FLUORESCENTE (NBR 15292); COLARINHO C/ PÉ DE GOLA, BOTÕES; BOLSO NO PEITO C/ PORTINHOLA; VELCRO P/ TARJETA; 4 FAIXAS RETRORREFLETIVAS 5 CM (CLASSE 3); BORDADOS: "AGENTE DA MOBILIDADE" NAS COSTAS, BANDEIRAS DE SJC E DO BRASIL NAS MANGAS, BRASÃO + "PREFEITURA SÃO JOSÉ DOS CAMPOS" NO PEITO; MODELAGEM MASC./FEM. — TAM. M</t>
  </si>
  <si>
    <t xml:space="preserve">CAMISA SOCIAL MANGA LONGA EM RIP STOP 70% POLIÉSTER / 30% ALGODÃO, FPU 50, BICOLOR CINZA (PANTONE 19-3908) + AMARELO FLUORESCENTE (NBR 15292); COLARINHO C/ PÉ DE GOLA, BOTÕES; BOLSO NO PEITO C/ PORTINHOLA; VELCRO P/ TARJETA; 4 FAIXAS RETRORREFLETIVAS 5 CM (CLASSE 3); BORDADOS: "AGENTE DA MOBILIDADE" NAS COSTAS, BANDEIRAS DE SJC E DO BRASIL NAS MANGAS, BRASÃO + "PREFEITURA SÃO JOSÉ DOS CAMPOS" NO PEITO; MODELAGEM MASC./FEM. — TAM. G</t>
  </si>
  <si>
    <t xml:space="preserve">CAMISA SOCIAL MANGA LONGA EM RIP STOP 70% POLIÉSTER / 30% ALGODÃO, FPU 50, BICOLOR CINZA (PANTONE 19-3908) + AMARELO FLUORESCENTE (NBR 15292); COLARINHO C/ PÉ DE GOLA, BOTÕES; BOLSO NO PEITO C/ PORTINHOLA; VELCRO P/ TARJETA; 4 FAIXAS RETRORREFLETIVAS 5 CM (CLASSE 3); BORDADOS: "AGENTE DA MOBILIDADE" NAS COSTAS, BANDEIRAS DE SJC E DO BRASIL NAS MANGAS, BRASÃO + "PREFEITURA SÃO JOSÉ DOS CAMPOS" NO PEITO; MODELAGEM MASC./FEM. — TAM. GG</t>
  </si>
  <si>
    <t xml:space="preserve">CAMISA SOCIAL MANGA LONGA EM RIP STOP 70% POLIÉSTER / 30% ALGODÃO, FPU 50, BICOLOR CINZA (PANTONE 19-3908) + AMARELO FLUORESCENTE (NBR 15292); COLARINHO C/ PÉ DE GOLA, BOTÕES; BOLSO NO PEITO C/ PORTINHOLA; VELCRO P/ TARJETA; 4 FAIXAS RETRORREFLETIVAS 5 CM (CLASSE 3); BORDADOS: "AGENTE DA MOBILIDADE" NAS COSTAS, BANDEIRAS DE SJC E DO BRASIL NAS MANGAS, BRASÃO + "PREFEITURA SÃO JOSÉ DOS CAMPOS" NO PEITO; MODELAGEM MASC./FEM. — TAM. XGG</t>
  </si>
  <si>
    <t xml:space="preserve">JAQUETA EM CORDURA 100% POLIAMIDA, BICOLOR CINZA (PANTONE 19-3908) + AMARELO FLUORESCENTE; FORRO FIXO; MEMBRANA IMPERMEÁVEL/CORTA-VENTO REMOVÍVEL + MANTA TERMAL REMOVÍVEL (ZÍPER); GOLA PADRE TRANSPASSADA C/ NEOPRENE; ABA FRONTAL C/ ZÍPER YKK; PUNHOS EM NEOPRENE; AJUSTE NA CINTURA C/ VELCRO; 2 BOLSOS INTERNOS + 2 LATERAIS C/ ZÍPER; VELCRO P/ TARJETA; 5 FAIXAS RETRORREFLETIVAS (NBR 15292); BORDADOS NAS COSTAS, PEITO E MANGAS — TAM. P A XGG + 1 SOB MEDIDA</t>
  </si>
  <si>
    <t xml:space="preserve">BONÉ EM RIP STOP 70% POLIÉSTER / 30% ALGODÃO, FPU 50+, COR CINZA GRAFITE (PANTONE 19-3908); FRENTE INTERTELADA; REGULADOR TRASEIRO EM LATÃO OU AÇO INOX — TAMANHO ÚNICO (55 A 57 CM)</t>
  </si>
  <si>
    <t xml:space="preserve">CAMISA SOCIAL MANGA CURTA EM RIP STOP 70% POLIÉSTER / 30% ALGODÃO, FPU 50, BICOLOR CINZA (PANTONE 19-3908) + AMARELO FLUORESCENTE (NBR 15292); COLARINHO C/ PÉ DE GOLA, BOTÕES; BOLSO NO PEITO C/ PORTINHOLA; VELCRO P/ TARJETA; 4 FAIXAS RETRORREFLETIVAS 5 CM (CLASSE 3); BORDADOS: "AGENTE DA MOBILIDADE" NAS COSTAS, BANDEIRAS DE SJC E DO BRASIL NAS MANGAS, BRASÃO + "PREFEITURA SÃO JOSÉ DOS CAMPOS" NO PEITO; MODELAGEM MASC./FEM. — TAM. EXGG</t>
  </si>
  <si>
    <t xml:space="preserve">CAMISA SOCIAL MANGA CURTA EM RIP STOP 70% POLIÉSTER / 30% ALGODÃO, FPU 50, BICOLOR CINZA (PANTONE 19-3908) + AMARELO FLUORESCENTE (NBR 15292); COLARINHO C/ PÉ DE GOLA, BOTÕES; BOLSO NO PEITO C/ PORTINHOLA; VELCRO P/ TARJETA; 4 FAIXAS RETRORREFLETIVAS 5 CM (CLASSE 3); BORDADOS: "AGENTE DA MOBILIDADE" NAS COSTAS, BANDEIRAS DE SJC E DO BRASIL NAS MANGAS, BRASÃO + "PREFEITURA SÃO JOSÉ DOS CAMPOS" NO PEITO; MODELAGEM MASC./FEM. — SOB MEDIDA</t>
  </si>
  <si>
    <t xml:space="preserve">CALÇA OPERACIONAL PADRÃO STU EM TECIDO TECHNO RIP STOP 70% POLIÉSTER / 30% ALGODÃO, 210 G/M², FPU 50, COR CINZA MÉDIO ESCURO (PANTONE 19-3908 NINE IRON); CÓS INTEIRO, 8 PASSANTES, ZÍPER METÁLICO E BOTÃO; REFORÇOS NOS JOELHOS E TRASEIRO; 2 BOLSOS FACA FORRADOS, 2 TRASEIROS EMBUTIDOS C/ VIVO, 2 LATERAIS C/ PORTINHOLA E ZÍPER; 2 FAIXAS RETRORREFLETIVAS 5 CM EM 360° (NBR 15292 CLASSE 3) — SOB MEDIDA</t>
  </si>
  <si>
    <t xml:space="preserve">CAMISA SOCIAL MANGA LONGA EM RIP STOP 70% POLIÉSTER / 30% ALGODÃO, FPU 50, BICOLOR CINZA (PANTONE 19-3908) + AMARELO FLUORESCENTE (NBR 15292); COLARINHO C/ PÉ DE GOLA, BOTÕES; BOLSO NO PEITO C/ PORTINHOLA; VELCRO P/ TARJETA; 4 FAIXAS RETRORREFLETIVAS 5 CM (CLASSE 3); BORDADOS: "AGENTE DA MOBILIDADE" NAS COSTAS, BANDEIRAS DE SJC E DO BRASIL NAS MANGAS, BRASÃO + "PREFEITURA SÃO JOSÉ DOS CAMPOS" NO PEITO; MODELAGEM MASC./FEM. — SOB MEDIDA</t>
  </si>
  <si>
    <t xml:space="preserve">CAMISA SOCIAL MANGA LONGA EM RIP STOP 70% POLIÉSTER / 30% ALGODÃO, FPU 50, BICOLOR CINZA (PANTONE 19-3908) + AMARELO FLUORESCENTE (NBR 15292); COLARINHO C/ PÉ DE GOLA, BOTÕES; BOLSO NO PEITO C/ PORTINHOLA; VELCRO P/ TARJETA; 4 FAIXAS RETRORREFLETIVAS 5 CM (CLASSE 3); BORDADOS: "AGENTE DA MOBILIDADE" NAS COSTAS, BANDEIRAS DE SJC E DO BRASIL NAS MANGAS, BRASÃO + "PREFEITURA SÃO JOSÉ DOS CAMPOS" NO PEITO; MODELAGEM MASC./FEM. — TAM. EXGG</t>
  </si>
  <si>
    <t xml:space="preserve">Total do lote 1</t>
  </si>
  <si>
    <t xml:space="preserve">TOTAL GERAL</t>
  </si>
  <si>
    <t xml:space="preserve">id</t>
  </si>
  <si>
    <t xml:space="preserve">2026-10-01-sao-jose-dos-campos</t>
  </si>
  <si>
    <t xml:space="preserve">orgao</t>
  </si>
  <si>
    <t xml:space="preserve">Prefeitura de São José dos Campos</t>
  </si>
  <si>
    <t xml:space="preserve">processo</t>
  </si>
  <si>
    <t xml:space="preserve">sessao</t>
  </si>
  <si>
    <t xml:space="preserve">2026-10-01T08:30</t>
  </si>
  <si>
    <t xml:space="preserve">portal</t>
  </si>
  <si>
    <t xml:space="preserve">criterio</t>
  </si>
  <si>
    <t xml:space="preserve">lote</t>
  </si>
  <si>
    <t xml:space="preserve">gerado_em</t>
  </si>
  <si>
    <t xml:space="preserve">2026-09-30 11:45</t>
  </si>
  <si>
    <t xml:space="preserve">fonte</t>
  </si>
  <si>
    <t xml:space="preserve">Edital PE 195/SGAF/2026 — Anexo I Termo de Referência, item 1.2 (total estimado R$ 86.977,13)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</si>
</sst>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&quot;R$ &quot;#,##0.00;&quot;-R$ &quot;#,##0.00;\-"/>
    <numFmt numFmtId="166" formatCode="0%;\-0%;\-"/>
    <numFmt numFmtId="167" formatCode="@"/>
    <numFmt numFmtId="168" formatCode="#,##0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color rgb="FF13284A"/>
      <name val="Aptos Narrow"/>
      <family val="0"/>
      <charset val="1"/>
    </font>
    <font>
      <b val="true"/>
      <sz val="10"/>
      <color rgb="FF5B6679"/>
      <name val="Aptos Narrow"/>
      <family val="0"/>
      <charset val="1"/>
    </font>
    <font>
      <sz val="11"/>
      <color rgb="FF111C2E"/>
      <name val="Aptos Narrow"/>
      <family val="0"/>
      <charset val="1"/>
    </font>
    <font>
      <b val="true"/>
      <sz val="12"/>
      <color rgb="FF13284A"/>
      <name val="Aptos Narrow"/>
      <family val="0"/>
      <charset val="1"/>
    </font>
    <font>
      <b val="true"/>
      <sz val="11"/>
      <color rgb="FFB42318"/>
      <name val="Aptos Narrow"/>
      <family val="0"/>
      <charset val="1"/>
    </font>
    <font>
      <i val="true"/>
      <sz val="10"/>
      <color rgb="FF5B6679"/>
      <name val="Aptos Narrow"/>
      <family val="0"/>
      <charset val="1"/>
    </font>
    <font>
      <b val="true"/>
      <sz val="10"/>
      <color rgb="FFB42318"/>
      <name val="Aptos Narrow"/>
      <family val="0"/>
      <charset val="1"/>
    </font>
    <font>
      <b val="true"/>
      <sz val="10"/>
      <color rgb="FFFFFFFF"/>
      <name val="Aptos Narrow"/>
      <family val="0"/>
      <charset val="1"/>
    </font>
    <font>
      <sz val="10"/>
      <color rgb="FF111C2E"/>
      <name val="Aptos Narrow"/>
      <family val="0"/>
      <charset val="1"/>
    </font>
    <font>
      <b val="true"/>
      <sz val="11"/>
      <color rgb="FF111C2E"/>
      <name val="Aptos Narrow"/>
      <family val="0"/>
      <charset val="1"/>
    </font>
    <font>
      <b val="true"/>
      <sz val="10"/>
      <color rgb="FF111C2E"/>
      <name val="Aptos Narrow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3284A"/>
        <bgColor rgb="FF111C2E"/>
      </patternFill>
    </fill>
    <fill>
      <patternFill patternType="solid">
        <fgColor rgb="FFFFF2A8"/>
        <bgColor rgb="FFFBE3C0"/>
      </patternFill>
    </fill>
    <fill>
      <patternFill patternType="solid">
        <fgColor rgb="FFFFFBE0"/>
        <bgColor rgb="FFFFFFFF"/>
      </patternFill>
    </fill>
    <fill>
      <patternFill patternType="solid">
        <fgColor rgb="FFEEF1F5"/>
        <bgColor rgb="FFFFFBE0"/>
      </patternFill>
    </fill>
    <fill>
      <patternFill patternType="solid">
        <fgColor rgb="FFDCE3EE"/>
        <bgColor rgb="FFEEF1F5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9CED6"/>
      </left>
      <right style="thin">
        <color rgb="FFC9CED6"/>
      </right>
      <top style="thin">
        <color rgb="FFC9CED6"/>
      </top>
      <bottom style="thin">
        <color rgb="FFC9CED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8" fontId="6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5" fontId="6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5" fontId="6" fillId="3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6" fontId="6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2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5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5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13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3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6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6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13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3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ont>
        <b val="1"/>
        <color rgb="FF9A1C12"/>
      </font>
      <fill>
        <patternFill>
          <bgColor rgb="FFF8C9C3"/>
        </patternFill>
      </fill>
    </dxf>
    <dxf>
      <fill>
        <patternFill>
          <bgColor rgb="FFFBE3C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B42318"/>
      <rgbColor rgb="FFFFFBE0"/>
      <rgbColor rgb="FFEEF1F5"/>
      <rgbColor rgb="FF660066"/>
      <rgbColor rgb="FFFF8080"/>
      <rgbColor rgb="FF0066CC"/>
      <rgbColor rgb="FFC9CED6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CE3EE"/>
      <rgbColor rgb="FFFBE3C0"/>
      <rgbColor rgb="FFFFF2A8"/>
      <rgbColor rgb="FF99CCFF"/>
      <rgbColor rgb="FFFF99CC"/>
      <rgbColor rgb="FFCC99FF"/>
      <rgbColor rgb="FFF8C9C3"/>
      <rgbColor rgb="FF3366FF"/>
      <rgbColor rgb="FF33CCCC"/>
      <rgbColor rgb="FF99CC00"/>
      <rgbColor rgb="FFFFCC00"/>
      <rgbColor rgb="FFFF9900"/>
      <rgbColor rgb="FFFF6600"/>
      <rgbColor rgb="FF5B6679"/>
      <rgbColor rgb="FF969696"/>
      <rgbColor rgb="FF13284A"/>
      <rgbColor rgb="FF339966"/>
      <rgbColor rgb="FF111C2E"/>
      <rgbColor rgb="FF333300"/>
      <rgbColor rgb="FF9A1C12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K4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3" ySplit="14" topLeftCell="D15" activePane="bottomRight" state="frozen"/>
      <selection pane="topLeft" activeCell="A1" activeCellId="0" sqref="A1"/>
      <selection pane="topRight" activeCell="D1" activeCellId="0" sqref="D1"/>
      <selection pane="bottomLeft" activeCell="A15" activeCellId="0" sqref="A1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8"/>
    <col collapsed="false" customWidth="true" hidden="false" outlineLevel="0" max="3" min="3" style="0" width="62"/>
    <col collapsed="false" customWidth="true" hidden="false" outlineLevel="0" max="4" min="4" style="0" width="7"/>
    <col collapsed="false" customWidth="true" hidden="false" outlineLevel="0" max="5" min="5" style="0" width="8"/>
    <col collapsed="false" customWidth="true" hidden="false" outlineLevel="0" max="6" min="6" style="0" width="14"/>
    <col collapsed="false" customWidth="true" hidden="false" outlineLevel="0" max="7" min="7" style="0" width="19"/>
    <col collapsed="false" customWidth="true" hidden="false" outlineLevel="0" max="8" min="8" style="0" width="14"/>
    <col collapsed="false" customWidth="true" hidden="false" outlineLevel="0" max="9" min="9" style="0" width="19"/>
    <col collapsed="false" customWidth="true" hidden="false" outlineLevel="0" max="10" min="10" style="0" width="11"/>
    <col collapsed="false" customWidth="true" hidden="false" outlineLevel="0" max="11" min="11" style="0" width="34"/>
  </cols>
  <sheetData>
    <row r="1" customFormat="false" ht="30" hidden="false" customHeight="tru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  <c r="C3" s="3" t="s">
        <v>2</v>
      </c>
      <c r="H3" s="4" t="s">
        <v>3</v>
      </c>
      <c r="I3" s="5" t="n">
        <f aca="false">G41</f>
        <v>86977.13</v>
      </c>
    </row>
    <row r="4" customFormat="false" ht="15" hidden="false" customHeight="false" outlineLevel="0" collapsed="false">
      <c r="A4" s="2" t="s">
        <v>4</v>
      </c>
      <c r="C4" s="3" t="s">
        <v>5</v>
      </c>
      <c r="H4" s="4" t="s">
        <v>6</v>
      </c>
      <c r="I4" s="5" t="n">
        <f aca="false">I41</f>
        <v>0</v>
      </c>
    </row>
    <row r="5" customFormat="false" ht="15" hidden="false" customHeight="false" outlineLevel="0" collapsed="false">
      <c r="A5" s="2" t="s">
        <v>7</v>
      </c>
      <c r="C5" s="3" t="s">
        <v>8</v>
      </c>
      <c r="H5" s="4" t="s">
        <v>9</v>
      </c>
      <c r="I5" s="6" t="str">
        <f aca="false">IF(OR(I4=0,I3=0),"",I4/I3)</f>
        <v/>
      </c>
    </row>
    <row r="6" customFormat="false" ht="15" hidden="false" customHeight="false" outlineLevel="0" collapsed="false">
      <c r="A6" s="2" t="s">
        <v>10</v>
      </c>
      <c r="C6" s="3" t="s">
        <v>11</v>
      </c>
      <c r="H6" s="4" t="s">
        <v>12</v>
      </c>
      <c r="I6" s="7" t="str">
        <f aca="false">COUNT(H15,H16,H17,H18,H19,H20,H21,H22,H23,H24,H25,H26,H27,H28,H29,H30,H31,H32,H33,H34,H35,H36,H37,H38,H39)&amp;" de 25"</f>
        <v>0 de 25</v>
      </c>
    </row>
    <row r="7" customFormat="false" ht="15" hidden="false" customHeight="false" outlineLevel="0" collapsed="false">
      <c r="A7" s="2" t="s">
        <v>13</v>
      </c>
      <c r="C7" s="3" t="s">
        <v>14</v>
      </c>
    </row>
    <row r="8" customFormat="false" ht="15" hidden="false" customHeight="false" outlineLevel="0" collapsed="false">
      <c r="A8" s="2" t="s">
        <v>15</v>
      </c>
      <c r="C8" s="3" t="s">
        <v>16</v>
      </c>
    </row>
    <row r="9" customFormat="false" ht="15" hidden="false" customHeight="false" outlineLevel="0" collapsed="false">
      <c r="A9" s="2" t="s">
        <v>17</v>
      </c>
      <c r="C9" s="8" t="s">
        <v>18</v>
      </c>
    </row>
    <row r="11" customFormat="false" ht="15" hidden="false" customHeight="false" outlineLevel="0" collapsed="false">
      <c r="A11" s="9" t="s">
        <v>19</v>
      </c>
    </row>
    <row r="12" customFormat="false" ht="15" hidden="false" customHeight="false" outlineLevel="0" collapsed="false">
      <c r="A12" s="10" t="s">
        <v>20</v>
      </c>
    </row>
    <row r="14" customFormat="false" ht="31.5" hidden="false" customHeight="true" outlineLevel="0" collapsed="false">
      <c r="A14" s="11" t="s">
        <v>21</v>
      </c>
      <c r="B14" s="11" t="s">
        <v>22</v>
      </c>
      <c r="C14" s="11" t="s">
        <v>23</v>
      </c>
      <c r="D14" s="11" t="s">
        <v>24</v>
      </c>
      <c r="E14" s="11" t="s">
        <v>25</v>
      </c>
      <c r="F14" s="11" t="s">
        <v>26</v>
      </c>
      <c r="G14" s="11" t="s">
        <v>27</v>
      </c>
      <c r="H14" s="11" t="s">
        <v>28</v>
      </c>
      <c r="I14" s="11" t="s">
        <v>29</v>
      </c>
      <c r="J14" s="11" t="s">
        <v>30</v>
      </c>
      <c r="K14" s="11" t="s">
        <v>31</v>
      </c>
    </row>
    <row r="15" customFormat="false" ht="45.75" hidden="false" customHeight="true" outlineLevel="0" collapsed="false">
      <c r="A15" s="12" t="n">
        <v>1</v>
      </c>
      <c r="B15" s="12" t="n">
        <v>1</v>
      </c>
      <c r="C15" s="13" t="s">
        <v>32</v>
      </c>
      <c r="D15" s="12" t="s">
        <v>33</v>
      </c>
      <c r="E15" s="14" t="n">
        <v>80</v>
      </c>
      <c r="F15" s="15" t="n">
        <v>94.06</v>
      </c>
      <c r="G15" s="15" t="n">
        <f aca="false">IF(F15="","",E15*F15)</f>
        <v>7524.8</v>
      </c>
      <c r="H15" s="16"/>
      <c r="I15" s="15" t="str">
        <f aca="false">IF(H15="","",E15*H15)</f>
        <v/>
      </c>
      <c r="J15" s="17" t="str">
        <f aca="false">IF(OR(H15="",F15=""),"",H15/F15)</f>
        <v/>
      </c>
      <c r="K15" s="18"/>
    </row>
    <row r="16" customFormat="false" ht="102" hidden="false" customHeight="true" outlineLevel="0" collapsed="false">
      <c r="A16" s="12" t="n">
        <v>1</v>
      </c>
      <c r="B16" s="12" t="n">
        <v>2</v>
      </c>
      <c r="C16" s="13" t="s">
        <v>34</v>
      </c>
      <c r="D16" s="12" t="s">
        <v>35</v>
      </c>
      <c r="E16" s="14" t="n">
        <v>18</v>
      </c>
      <c r="F16" s="15" t="n">
        <v>167.19</v>
      </c>
      <c r="G16" s="15" t="n">
        <f aca="false">IF(F16="","",E16*F16)</f>
        <v>3009.42</v>
      </c>
      <c r="H16" s="16"/>
      <c r="I16" s="15" t="str">
        <f aca="false">IF(H16="","",E16*H16)</f>
        <v/>
      </c>
      <c r="J16" s="17" t="str">
        <f aca="false">IF(OR(H16="",F16=""),"",H16/F16)</f>
        <v/>
      </c>
      <c r="K16" s="18"/>
    </row>
    <row r="17" customFormat="false" ht="102" hidden="false" customHeight="true" outlineLevel="0" collapsed="false">
      <c r="A17" s="12" t="n">
        <v>1</v>
      </c>
      <c r="B17" s="12" t="n">
        <v>3</v>
      </c>
      <c r="C17" s="13" t="s">
        <v>36</v>
      </c>
      <c r="D17" s="12" t="s">
        <v>35</v>
      </c>
      <c r="E17" s="14" t="n">
        <v>20</v>
      </c>
      <c r="F17" s="15" t="n">
        <v>167.19</v>
      </c>
      <c r="G17" s="15" t="n">
        <f aca="false">IF(F17="","",E17*F17)</f>
        <v>3343.8</v>
      </c>
      <c r="H17" s="16"/>
      <c r="I17" s="15" t="str">
        <f aca="false">IF(H17="","",E17*H17)</f>
        <v/>
      </c>
      <c r="J17" s="17" t="str">
        <f aca="false">IF(OR(H17="",F17=""),"",H17/F17)</f>
        <v/>
      </c>
      <c r="K17" s="18"/>
    </row>
    <row r="18" customFormat="false" ht="102" hidden="false" customHeight="true" outlineLevel="0" collapsed="false">
      <c r="A18" s="12" t="n">
        <v>1</v>
      </c>
      <c r="B18" s="12" t="n">
        <v>4</v>
      </c>
      <c r="C18" s="13" t="s">
        <v>37</v>
      </c>
      <c r="D18" s="12" t="s">
        <v>35</v>
      </c>
      <c r="E18" s="14" t="n">
        <v>18</v>
      </c>
      <c r="F18" s="15" t="n">
        <v>167.19</v>
      </c>
      <c r="G18" s="15" t="n">
        <f aca="false">IF(F18="","",E18*F18)</f>
        <v>3009.42</v>
      </c>
      <c r="H18" s="16"/>
      <c r="I18" s="15" t="str">
        <f aca="false">IF(H18="","",E18*H18)</f>
        <v/>
      </c>
      <c r="J18" s="17" t="str">
        <f aca="false">IF(OR(H18="",F18=""),"",H18/F18)</f>
        <v/>
      </c>
      <c r="K18" s="18"/>
    </row>
    <row r="19" customFormat="false" ht="102" hidden="false" customHeight="true" outlineLevel="0" collapsed="false">
      <c r="A19" s="12" t="n">
        <v>1</v>
      </c>
      <c r="B19" s="12" t="n">
        <v>5</v>
      </c>
      <c r="C19" s="13" t="s">
        <v>38</v>
      </c>
      <c r="D19" s="12" t="s">
        <v>35</v>
      </c>
      <c r="E19" s="14" t="n">
        <v>14</v>
      </c>
      <c r="F19" s="15" t="n">
        <v>167.19</v>
      </c>
      <c r="G19" s="15" t="n">
        <f aca="false">IF(F19="","",E19*F19)</f>
        <v>2340.66</v>
      </c>
      <c r="H19" s="16"/>
      <c r="I19" s="15" t="str">
        <f aca="false">IF(H19="","",E19*H19)</f>
        <v/>
      </c>
      <c r="J19" s="17" t="str">
        <f aca="false">IF(OR(H19="",F19=""),"",H19/F19)</f>
        <v/>
      </c>
      <c r="K19" s="18"/>
    </row>
    <row r="20" customFormat="false" ht="102" hidden="false" customHeight="true" outlineLevel="0" collapsed="false">
      <c r="A20" s="12" t="n">
        <v>1</v>
      </c>
      <c r="B20" s="12" t="n">
        <v>6</v>
      </c>
      <c r="C20" s="13" t="s">
        <v>39</v>
      </c>
      <c r="D20" s="12" t="s">
        <v>35</v>
      </c>
      <c r="E20" s="14" t="n">
        <v>18</v>
      </c>
      <c r="F20" s="15" t="n">
        <v>167.19</v>
      </c>
      <c r="G20" s="15" t="n">
        <f aca="false">IF(F20="","",E20*F20)</f>
        <v>3009.42</v>
      </c>
      <c r="H20" s="16"/>
      <c r="I20" s="15" t="str">
        <f aca="false">IF(H20="","",E20*H20)</f>
        <v/>
      </c>
      <c r="J20" s="17" t="str">
        <f aca="false">IF(OR(H20="",F20=""),"",H20/F20)</f>
        <v/>
      </c>
      <c r="K20" s="18"/>
    </row>
    <row r="21" customFormat="false" ht="102" hidden="false" customHeight="true" outlineLevel="0" collapsed="false">
      <c r="A21" s="12" t="n">
        <v>1</v>
      </c>
      <c r="B21" s="12" t="n">
        <v>7</v>
      </c>
      <c r="C21" s="13" t="s">
        <v>40</v>
      </c>
      <c r="D21" s="12" t="s">
        <v>35</v>
      </c>
      <c r="E21" s="14" t="n">
        <v>8</v>
      </c>
      <c r="F21" s="15" t="n">
        <v>167.19</v>
      </c>
      <c r="G21" s="15" t="n">
        <f aca="false">IF(F21="","",E21*F21)</f>
        <v>1337.52</v>
      </c>
      <c r="H21" s="16"/>
      <c r="I21" s="15" t="str">
        <f aca="false">IF(H21="","",E21*H21)</f>
        <v/>
      </c>
      <c r="J21" s="17" t="str">
        <f aca="false">IF(OR(H21="",F21=""),"",H21/F21)</f>
        <v/>
      </c>
      <c r="K21" s="18"/>
    </row>
    <row r="22" customFormat="false" ht="102" hidden="false" customHeight="true" outlineLevel="0" collapsed="false">
      <c r="A22" s="12" t="n">
        <v>1</v>
      </c>
      <c r="B22" s="12" t="n">
        <v>8</v>
      </c>
      <c r="C22" s="13" t="s">
        <v>41</v>
      </c>
      <c r="D22" s="12" t="s">
        <v>35</v>
      </c>
      <c r="E22" s="14" t="n">
        <v>10</v>
      </c>
      <c r="F22" s="15" t="n">
        <v>167.19</v>
      </c>
      <c r="G22" s="15" t="n">
        <f aca="false">IF(F22="","",E22*F22)</f>
        <v>1671.9</v>
      </c>
      <c r="H22" s="16"/>
      <c r="I22" s="15" t="str">
        <f aca="false">IF(H22="","",E22*H22)</f>
        <v/>
      </c>
      <c r="J22" s="17" t="str">
        <f aca="false">IF(OR(H22="",F22=""),"",H22/F22)</f>
        <v/>
      </c>
      <c r="K22" s="18"/>
    </row>
    <row r="23" customFormat="false" ht="115.5" hidden="false" customHeight="true" outlineLevel="0" collapsed="false">
      <c r="A23" s="12" t="n">
        <v>1</v>
      </c>
      <c r="B23" s="12" t="n">
        <v>9</v>
      </c>
      <c r="C23" s="13" t="s">
        <v>42</v>
      </c>
      <c r="D23" s="12" t="s">
        <v>35</v>
      </c>
      <c r="E23" s="14" t="n">
        <v>4</v>
      </c>
      <c r="F23" s="15" t="n">
        <v>155.78</v>
      </c>
      <c r="G23" s="15" t="n">
        <f aca="false">IF(F23="","",E23*F23)</f>
        <v>623.12</v>
      </c>
      <c r="H23" s="16"/>
      <c r="I23" s="15" t="str">
        <f aca="false">IF(H23="","",E23*H23)</f>
        <v/>
      </c>
      <c r="J23" s="17" t="str">
        <f aca="false">IF(OR(H23="",F23=""),"",H23/F23)</f>
        <v/>
      </c>
      <c r="K23" s="18"/>
    </row>
    <row r="24" customFormat="false" ht="115.5" hidden="false" customHeight="true" outlineLevel="0" collapsed="false">
      <c r="A24" s="12" t="n">
        <v>1</v>
      </c>
      <c r="B24" s="12" t="n">
        <v>10</v>
      </c>
      <c r="C24" s="13" t="s">
        <v>43</v>
      </c>
      <c r="D24" s="12" t="s">
        <v>35</v>
      </c>
      <c r="E24" s="14" t="n">
        <v>21</v>
      </c>
      <c r="F24" s="15" t="n">
        <v>147.34</v>
      </c>
      <c r="G24" s="15" t="n">
        <f aca="false">IF(F24="","",E24*F24)</f>
        <v>3094.14</v>
      </c>
      <c r="H24" s="16"/>
      <c r="I24" s="15" t="str">
        <f aca="false">IF(H24="","",E24*H24)</f>
        <v/>
      </c>
      <c r="J24" s="17" t="str">
        <f aca="false">IF(OR(H24="",F24=""),"",H24/F24)</f>
        <v/>
      </c>
      <c r="K24" s="18"/>
    </row>
    <row r="25" customFormat="false" ht="115.5" hidden="false" customHeight="true" outlineLevel="0" collapsed="false">
      <c r="A25" s="12" t="n">
        <v>1</v>
      </c>
      <c r="B25" s="12" t="n">
        <v>11</v>
      </c>
      <c r="C25" s="13" t="s">
        <v>44</v>
      </c>
      <c r="D25" s="12" t="s">
        <v>35</v>
      </c>
      <c r="E25" s="14" t="n">
        <v>36</v>
      </c>
      <c r="F25" s="15" t="n">
        <v>195.34</v>
      </c>
      <c r="G25" s="15" t="n">
        <f aca="false">IF(F25="","",E25*F25)</f>
        <v>7032.24</v>
      </c>
      <c r="H25" s="16"/>
      <c r="I25" s="15" t="str">
        <f aca="false">IF(H25="","",E25*H25)</f>
        <v/>
      </c>
      <c r="J25" s="17" t="str">
        <f aca="false">IF(OR(H25="",F25=""),"",H25/F25)</f>
        <v/>
      </c>
      <c r="K25" s="18"/>
    </row>
    <row r="26" customFormat="false" ht="115.5" hidden="false" customHeight="true" outlineLevel="0" collapsed="false">
      <c r="A26" s="12" t="n">
        <v>1</v>
      </c>
      <c r="B26" s="12" t="n">
        <v>12</v>
      </c>
      <c r="C26" s="13" t="s">
        <v>45</v>
      </c>
      <c r="D26" s="12" t="s">
        <v>35</v>
      </c>
      <c r="E26" s="14" t="n">
        <v>26</v>
      </c>
      <c r="F26" s="15" t="n">
        <v>195.34</v>
      </c>
      <c r="G26" s="15" t="n">
        <f aca="false">IF(F26="","",E26*F26)</f>
        <v>5078.84</v>
      </c>
      <c r="H26" s="16"/>
      <c r="I26" s="15" t="str">
        <f aca="false">IF(H26="","",E26*H26)</f>
        <v/>
      </c>
      <c r="J26" s="17" t="str">
        <f aca="false">IF(OR(H26="",F26=""),"",H26/F26)</f>
        <v/>
      </c>
      <c r="K26" s="18"/>
    </row>
    <row r="27" customFormat="false" ht="115.5" hidden="false" customHeight="true" outlineLevel="0" collapsed="false">
      <c r="A27" s="12" t="n">
        <v>1</v>
      </c>
      <c r="B27" s="12" t="n">
        <v>13</v>
      </c>
      <c r="C27" s="13" t="s">
        <v>46</v>
      </c>
      <c r="D27" s="12" t="s">
        <v>35</v>
      </c>
      <c r="E27" s="14" t="n">
        <v>12</v>
      </c>
      <c r="F27" s="15" t="n">
        <v>195.34</v>
      </c>
      <c r="G27" s="15" t="n">
        <f aca="false">IF(F27="","",E27*F27)</f>
        <v>2344.08</v>
      </c>
      <c r="H27" s="16"/>
      <c r="I27" s="15" t="str">
        <f aca="false">IF(H27="","",E27*H27)</f>
        <v/>
      </c>
      <c r="J27" s="17" t="str">
        <f aca="false">IF(OR(H27="",F27=""),"",H27/F27)</f>
        <v/>
      </c>
      <c r="K27" s="18"/>
    </row>
    <row r="28" customFormat="false" ht="115.5" hidden="false" customHeight="true" outlineLevel="0" collapsed="false">
      <c r="A28" s="12" t="n">
        <v>1</v>
      </c>
      <c r="B28" s="12" t="n">
        <v>14</v>
      </c>
      <c r="C28" s="13" t="s">
        <v>47</v>
      </c>
      <c r="D28" s="12" t="s">
        <v>35</v>
      </c>
      <c r="E28" s="14" t="n">
        <v>4</v>
      </c>
      <c r="F28" s="15" t="n">
        <v>201.42</v>
      </c>
      <c r="G28" s="15" t="n">
        <f aca="false">IF(F28="","",E28*F28)</f>
        <v>805.68</v>
      </c>
      <c r="H28" s="16"/>
      <c r="I28" s="15" t="str">
        <f aca="false">IF(H28="","",E28*H28)</f>
        <v/>
      </c>
      <c r="J28" s="17" t="str">
        <f aca="false">IF(OR(H28="",F28=""),"",H28/F28)</f>
        <v/>
      </c>
      <c r="K28" s="18"/>
    </row>
    <row r="29" customFormat="false" ht="115.5" hidden="false" customHeight="true" outlineLevel="0" collapsed="false">
      <c r="A29" s="12" t="n">
        <v>1</v>
      </c>
      <c r="B29" s="12" t="n">
        <v>15</v>
      </c>
      <c r="C29" s="13" t="s">
        <v>48</v>
      </c>
      <c r="D29" s="12" t="s">
        <v>35</v>
      </c>
      <c r="E29" s="14" t="n">
        <v>20</v>
      </c>
      <c r="F29" s="15" t="n">
        <v>201.42</v>
      </c>
      <c r="G29" s="15" t="n">
        <f aca="false">IF(F29="","",E29*F29)</f>
        <v>4028.4</v>
      </c>
      <c r="H29" s="16"/>
      <c r="I29" s="15" t="str">
        <f aca="false">IF(H29="","",E29*H29)</f>
        <v/>
      </c>
      <c r="J29" s="17" t="str">
        <f aca="false">IF(OR(H29="",F29=""),"",H29/F29)</f>
        <v/>
      </c>
      <c r="K29" s="18"/>
    </row>
    <row r="30" customFormat="false" ht="115.5" hidden="false" customHeight="true" outlineLevel="0" collapsed="false">
      <c r="A30" s="12" t="n">
        <v>1</v>
      </c>
      <c r="B30" s="12" t="n">
        <v>16</v>
      </c>
      <c r="C30" s="13" t="s">
        <v>49</v>
      </c>
      <c r="D30" s="12" t="s">
        <v>35</v>
      </c>
      <c r="E30" s="14" t="n">
        <v>36</v>
      </c>
      <c r="F30" s="15" t="n">
        <v>201.42</v>
      </c>
      <c r="G30" s="15" t="n">
        <f aca="false">IF(F30="","",E30*F30)</f>
        <v>7251.12</v>
      </c>
      <c r="H30" s="16"/>
      <c r="I30" s="15" t="str">
        <f aca="false">IF(H30="","",E30*H30)</f>
        <v/>
      </c>
      <c r="J30" s="17" t="str">
        <f aca="false">IF(OR(H30="",F30=""),"",H30/F30)</f>
        <v/>
      </c>
      <c r="K30" s="18"/>
    </row>
    <row r="31" customFormat="false" ht="115.5" hidden="false" customHeight="true" outlineLevel="0" collapsed="false">
      <c r="A31" s="12" t="n">
        <v>1</v>
      </c>
      <c r="B31" s="12" t="n">
        <v>17</v>
      </c>
      <c r="C31" s="13" t="s">
        <v>50</v>
      </c>
      <c r="D31" s="12" t="s">
        <v>35</v>
      </c>
      <c r="E31" s="14" t="n">
        <v>26</v>
      </c>
      <c r="F31" s="15" t="n">
        <v>201.42</v>
      </c>
      <c r="G31" s="15" t="n">
        <f aca="false">IF(F31="","",E31*F31)</f>
        <v>5236.92</v>
      </c>
      <c r="H31" s="16"/>
      <c r="I31" s="15" t="str">
        <f aca="false">IF(H31="","",E31*H31)</f>
        <v/>
      </c>
      <c r="J31" s="17" t="str">
        <f aca="false">IF(OR(H31="",F31=""),"",H31/F31)</f>
        <v/>
      </c>
      <c r="K31" s="18"/>
    </row>
    <row r="32" customFormat="false" ht="115.5" hidden="false" customHeight="true" outlineLevel="0" collapsed="false">
      <c r="A32" s="12" t="n">
        <v>1</v>
      </c>
      <c r="B32" s="12" t="n">
        <v>18</v>
      </c>
      <c r="C32" s="13" t="s">
        <v>51</v>
      </c>
      <c r="D32" s="12" t="s">
        <v>35</v>
      </c>
      <c r="E32" s="14" t="n">
        <v>12</v>
      </c>
      <c r="F32" s="15" t="n">
        <v>201.42</v>
      </c>
      <c r="G32" s="15" t="n">
        <f aca="false">IF(F32="","",E32*F32)</f>
        <v>2417.04</v>
      </c>
      <c r="H32" s="16"/>
      <c r="I32" s="15" t="str">
        <f aca="false">IF(H32="","",E32*H32)</f>
        <v/>
      </c>
      <c r="J32" s="17" t="str">
        <f aca="false">IF(OR(H32="",F32=""),"",H32/F32)</f>
        <v/>
      </c>
      <c r="K32" s="18"/>
    </row>
    <row r="33" customFormat="false" ht="115.5" hidden="false" customHeight="true" outlineLevel="0" collapsed="false">
      <c r="A33" s="12" t="n">
        <v>1</v>
      </c>
      <c r="B33" s="12" t="n">
        <v>19</v>
      </c>
      <c r="C33" s="13" t="s">
        <v>52</v>
      </c>
      <c r="D33" s="12" t="s">
        <v>35</v>
      </c>
      <c r="E33" s="14" t="n">
        <v>54</v>
      </c>
      <c r="F33" s="15" t="n">
        <v>291.63</v>
      </c>
      <c r="G33" s="15" t="n">
        <f aca="false">IF(F33="","",E33*F33)</f>
        <v>15748.02</v>
      </c>
      <c r="H33" s="16"/>
      <c r="I33" s="15" t="str">
        <f aca="false">IF(H33="","",E33*H33)</f>
        <v/>
      </c>
      <c r="J33" s="17" t="str">
        <f aca="false">IF(OR(H33="",F33=""),"",H33/F33)</f>
        <v/>
      </c>
      <c r="K33" s="18"/>
    </row>
    <row r="34" customFormat="false" ht="60" hidden="false" customHeight="true" outlineLevel="0" collapsed="false">
      <c r="A34" s="12" t="n">
        <v>1</v>
      </c>
      <c r="B34" s="12" t="n">
        <v>20</v>
      </c>
      <c r="C34" s="13" t="s">
        <v>53</v>
      </c>
      <c r="D34" s="12" t="s">
        <v>35</v>
      </c>
      <c r="E34" s="14" t="n">
        <v>80</v>
      </c>
      <c r="F34" s="15" t="n">
        <v>40.77</v>
      </c>
      <c r="G34" s="15" t="n">
        <f aca="false">IF(F34="","",E34*F34)</f>
        <v>3261.6</v>
      </c>
      <c r="H34" s="16"/>
      <c r="I34" s="15" t="str">
        <f aca="false">IF(H34="","",E34*H34)</f>
        <v/>
      </c>
      <c r="J34" s="17" t="str">
        <f aca="false">IF(OR(H34="",F34=""),"",H34/F34)</f>
        <v/>
      </c>
      <c r="K34" s="18"/>
    </row>
    <row r="35" customFormat="false" ht="115.5" hidden="false" customHeight="true" outlineLevel="0" collapsed="false">
      <c r="A35" s="12" t="n">
        <v>1</v>
      </c>
      <c r="B35" s="12" t="n">
        <v>21</v>
      </c>
      <c r="C35" s="13" t="s">
        <v>54</v>
      </c>
      <c r="D35" s="12" t="s">
        <v>35</v>
      </c>
      <c r="E35" s="14" t="n">
        <v>8</v>
      </c>
      <c r="F35" s="15" t="n">
        <v>227.11</v>
      </c>
      <c r="G35" s="15" t="n">
        <f aca="false">IF(F35="","",E35*F35)</f>
        <v>1816.88</v>
      </c>
      <c r="H35" s="16"/>
      <c r="I35" s="15" t="str">
        <f aca="false">IF(H35="","",E35*H35)</f>
        <v/>
      </c>
      <c r="J35" s="17" t="str">
        <f aca="false">IF(OR(H35="",F35=""),"",H35/F35)</f>
        <v/>
      </c>
      <c r="K35" s="18"/>
    </row>
    <row r="36" customFormat="false" ht="115.5" hidden="false" customHeight="true" outlineLevel="0" collapsed="false">
      <c r="A36" s="12" t="n">
        <v>1</v>
      </c>
      <c r="B36" s="12" t="n">
        <v>22</v>
      </c>
      <c r="C36" s="13" t="s">
        <v>55</v>
      </c>
      <c r="D36" s="12" t="s">
        <v>35</v>
      </c>
      <c r="E36" s="14" t="n">
        <v>1</v>
      </c>
      <c r="F36" s="15" t="n">
        <v>227.11</v>
      </c>
      <c r="G36" s="15" t="n">
        <f aca="false">IF(F36="","",E36*F36)</f>
        <v>227.11</v>
      </c>
      <c r="H36" s="16"/>
      <c r="I36" s="15" t="str">
        <f aca="false">IF(H36="","",E36*H36)</f>
        <v/>
      </c>
      <c r="J36" s="17" t="str">
        <f aca="false">IF(OR(H36="",F36=""),"",H36/F36)</f>
        <v/>
      </c>
      <c r="K36" s="18"/>
    </row>
    <row r="37" customFormat="false" ht="102" hidden="false" customHeight="true" outlineLevel="0" collapsed="false">
      <c r="A37" s="12" t="n">
        <v>1</v>
      </c>
      <c r="B37" s="12" t="n">
        <v>23</v>
      </c>
      <c r="C37" s="13" t="s">
        <v>56</v>
      </c>
      <c r="D37" s="12" t="s">
        <v>35</v>
      </c>
      <c r="E37" s="14" t="n">
        <v>2</v>
      </c>
      <c r="F37" s="15" t="n">
        <v>162.25</v>
      </c>
      <c r="G37" s="15" t="n">
        <f aca="false">IF(F37="","",E37*F37)</f>
        <v>324.5</v>
      </c>
      <c r="H37" s="16"/>
      <c r="I37" s="15" t="str">
        <f aca="false">IF(H37="","",E37*H37)</f>
        <v/>
      </c>
      <c r="J37" s="17" t="str">
        <f aca="false">IF(OR(H37="",F37=""),"",H37/F37)</f>
        <v/>
      </c>
      <c r="K37" s="18"/>
    </row>
    <row r="38" customFormat="false" ht="115.5" hidden="false" customHeight="true" outlineLevel="0" collapsed="false">
      <c r="A38" s="12" t="n">
        <v>1</v>
      </c>
      <c r="B38" s="12" t="n">
        <v>24</v>
      </c>
      <c r="C38" s="13" t="s">
        <v>57</v>
      </c>
      <c r="D38" s="12" t="s">
        <v>35</v>
      </c>
      <c r="E38" s="14" t="n">
        <v>2</v>
      </c>
      <c r="F38" s="15" t="n">
        <v>244.05</v>
      </c>
      <c r="G38" s="15" t="n">
        <f aca="false">IF(F38="","",E38*F38)</f>
        <v>488.1</v>
      </c>
      <c r="H38" s="16"/>
      <c r="I38" s="15" t="str">
        <f aca="false">IF(H38="","",E38*H38)</f>
        <v/>
      </c>
      <c r="J38" s="17" t="str">
        <f aca="false">IF(OR(H38="",F38=""),"",H38/F38)</f>
        <v/>
      </c>
      <c r="K38" s="18"/>
    </row>
    <row r="39" customFormat="false" ht="115.5" hidden="false" customHeight="true" outlineLevel="0" collapsed="false">
      <c r="A39" s="12" t="n">
        <v>1</v>
      </c>
      <c r="B39" s="12" t="n">
        <v>25</v>
      </c>
      <c r="C39" s="13" t="s">
        <v>58</v>
      </c>
      <c r="D39" s="12" t="s">
        <v>35</v>
      </c>
      <c r="E39" s="14" t="n">
        <v>8</v>
      </c>
      <c r="F39" s="15" t="n">
        <v>244.05</v>
      </c>
      <c r="G39" s="15" t="n">
        <f aca="false">IF(F39="","",E39*F39)</f>
        <v>1952.4</v>
      </c>
      <c r="H39" s="16"/>
      <c r="I39" s="15" t="str">
        <f aca="false">IF(H39="","",E39*H39)</f>
        <v/>
      </c>
      <c r="J39" s="17" t="str">
        <f aca="false">IF(OR(H39="",F39=""),"",H39/F39)</f>
        <v/>
      </c>
      <c r="K39" s="18"/>
    </row>
    <row r="40" customFormat="false" ht="15" hidden="false" customHeight="false" outlineLevel="0" collapsed="false">
      <c r="A40" s="19"/>
      <c r="B40" s="19"/>
      <c r="C40" s="20" t="s">
        <v>59</v>
      </c>
      <c r="D40" s="19"/>
      <c r="E40" s="19"/>
      <c r="F40" s="19"/>
      <c r="G40" s="21" t="n">
        <f aca="false">SUM(G15:G39)</f>
        <v>86977.13</v>
      </c>
      <c r="H40" s="19"/>
      <c r="I40" s="21" t="n">
        <f aca="false">SUM(I15:I39)</f>
        <v>0</v>
      </c>
      <c r="J40" s="22" t="str">
        <f aca="false">IF(OR(I40=0,G40=0),"",I40/G40)</f>
        <v/>
      </c>
      <c r="K40" s="19"/>
    </row>
    <row r="41" customFormat="false" ht="15" hidden="false" customHeight="false" outlineLevel="0" collapsed="false">
      <c r="A41" s="23"/>
      <c r="B41" s="23"/>
      <c r="C41" s="24" t="s">
        <v>60</v>
      </c>
      <c r="D41" s="23"/>
      <c r="E41" s="23"/>
      <c r="F41" s="23"/>
      <c r="G41" s="25" t="n">
        <f aca="false">G40</f>
        <v>86977.13</v>
      </c>
      <c r="H41" s="23"/>
      <c r="I41" s="25" t="n">
        <f aca="false">I40</f>
        <v>0</v>
      </c>
      <c r="J41" s="26" t="str">
        <f aca="false">IF(OR(I41=0,G41=0),"",I41/G41)</f>
        <v/>
      </c>
      <c r="K41" s="23"/>
    </row>
  </sheetData>
  <conditionalFormatting sqref="J15:J41">
    <cfRule type="expression" priority="2" aboveAverage="0" equalAverage="0" bottom="0" percent="0" rank="0" text="" dxfId="0">
      <formula>AND(ISNUMBER(J15),J15&gt;=1)</formula>
    </cfRule>
    <cfRule type="expression" priority="3" aboveAverage="0" equalAverage="0" bottom="0" percent="0" rank="0" text="" dxfId="1">
      <formula>AND(ISNUMBER(J15),J15&gt;=0.9,J15&lt;1)</formula>
    </cfRule>
  </conditionalFormatting>
  <dataValidations count="1">
    <dataValidation allowBlank="true" error="Digite o valor unitário em reais, só números (ex.: 45,90)." errorStyle="stop" errorTitle="Valor inválido" operator="greaterThanOrEqual" showDropDown="false" showErrorMessage="false" showInputMessage="false" sqref="H15:H39" type="decimal">
      <formula1>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70"/>
  </cols>
  <sheetData>
    <row r="1" customFormat="false" ht="15" hidden="false" customHeight="false" outlineLevel="0" collapsed="false">
      <c r="A1" s="27" t="s">
        <v>61</v>
      </c>
      <c r="B1" s="28" t="s">
        <v>62</v>
      </c>
    </row>
    <row r="2" customFormat="false" ht="15" hidden="false" customHeight="false" outlineLevel="0" collapsed="false">
      <c r="A2" s="27" t="s">
        <v>63</v>
      </c>
      <c r="B2" s="28" t="s">
        <v>64</v>
      </c>
    </row>
    <row r="3" customFormat="false" ht="15" hidden="false" customHeight="false" outlineLevel="0" collapsed="false">
      <c r="A3" s="27" t="s">
        <v>65</v>
      </c>
      <c r="B3" s="28" t="s">
        <v>5</v>
      </c>
    </row>
    <row r="4" customFormat="false" ht="15" hidden="false" customHeight="false" outlineLevel="0" collapsed="false">
      <c r="A4" s="27" t="s">
        <v>66</v>
      </c>
      <c r="B4" s="28" t="s">
        <v>67</v>
      </c>
    </row>
    <row r="5" customFormat="false" ht="15" hidden="false" customHeight="false" outlineLevel="0" collapsed="false">
      <c r="A5" s="27" t="s">
        <v>68</v>
      </c>
      <c r="B5" s="28" t="s">
        <v>11</v>
      </c>
    </row>
    <row r="6" customFormat="false" ht="15" hidden="false" customHeight="false" outlineLevel="0" collapsed="false">
      <c r="A6" s="27" t="s">
        <v>69</v>
      </c>
      <c r="B6" s="28" t="s">
        <v>70</v>
      </c>
    </row>
    <row r="7" customFormat="false" ht="15" hidden="false" customHeight="false" outlineLevel="0" collapsed="false">
      <c r="A7" s="27" t="s">
        <v>71</v>
      </c>
      <c r="B7" s="28" t="s">
        <v>72</v>
      </c>
    </row>
    <row r="8" customFormat="false" ht="15" hidden="false" customHeight="false" outlineLevel="0" collapsed="false">
      <c r="A8" s="27" t="s">
        <v>73</v>
      </c>
      <c r="B8" s="28" t="s">
        <v>74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2026-09-30T11:45:49Z</dcterms:created>
  <dc:creator>openpyxl</dc:creator>
  <dc:description/>
  <dc:language>en-US</dc:language>
  <cp:lastModifiedBy/>
  <dcterms:modified xsi:type="dcterms:W3CDTF">2026-09-30T11:45:49Z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