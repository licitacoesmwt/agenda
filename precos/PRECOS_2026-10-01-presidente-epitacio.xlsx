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<sst xmlns="http://schemas.openxmlformats.org/spreadsheetml/2006/main" count="90" uniqueCount="69">
  <si>
    <t xml:space="preserve">TABELA NEGOCIAÇÃO PREGÃO - MENOR PREÇO LOTE</t>
  </si>
  <si>
    <t xml:space="preserve">Órgão</t>
  </si>
  <si>
    <t xml:space="preserve">Prefeitura Municipal da Estância Turística de Presidente Epitácio — Secretaria Municipal de Obras e Infraestrutura</t>
  </si>
  <si>
    <t xml:space="preserve">Total de entrada</t>
  </si>
  <si>
    <t xml:space="preserve">Processo</t>
  </si>
  <si>
    <t xml:space="preserve">Pregão Eletrônico nº 075/2026 (2ª edição) — Proc. Licitatório 104/2026 — Registro de Preços</t>
  </si>
  <si>
    <t xml:space="preserve">Total mínimo</t>
  </si>
  <si>
    <t xml:space="preserve">Sessão</t>
  </si>
  <si>
    <t xml:space="preserve">quinta-feira, 01/10/2026 às 08:30 (Brasília)</t>
  </si>
  <si>
    <t xml:space="preserve">Mínimo ÷ entrada</t>
  </si>
  <si>
    <t xml:space="preserve">Portal</t>
  </si>
  <si>
    <t xml:space="preserve">Portal de Compras Públicas (portaldecompraspublicas.com.br)</t>
  </si>
  <si>
    <t xml:space="preserve">Itens preenchidos</t>
  </si>
  <si>
    <t xml:space="preserve">Critério</t>
  </si>
  <si>
    <t xml:space="preserve">Menor preço por lote (lote único, 20 itens) — registro de preços, disputa aberta</t>
  </si>
  <si>
    <t xml:space="preserve">Participação</t>
  </si>
  <si>
    <t xml:space="preserve">Ampla concorrência</t>
  </si>
  <si>
    <t xml:space="preserve">Preencher até</t>
  </si>
  <si>
    <t xml:space="preserve">30/09/2026 (hoje)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</si>
  <si>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</si>
  <si>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</si>
  <si>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</si>
  <si>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</si>
  <si>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</si>
  <si>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</si>
  <si>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</si>
  <si>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</si>
  <si>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</si>
  <si>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</si>
  <si>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</si>
  <si>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</si>
  <si>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</si>
  <si>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CAMISA MANGA LONGA EM BRIM PESADO 100% ALGODÃO, AZUL ROYAL (OU COR DEFINIDA PELA SECRETARIA), GOLA ITALIANA, 1 BOLSO NO PEITO ESQ., MANGAS LONGAS C/ PUNHO; FAIXAS REFLETIVAS (ABNT NBR 15292/2023) NO PEITO E NAS MANGAS, CONTORNANDO A PEÇA; SILK COLORIDO: LOGO DA PREFEITURA NO BOLSO + LOGO E IDENTIFICAÇÃO DA SECRETARIA NAS COSTAS; ETIQUETA INTERNA E EMBALAGEM INDIVIDUAL — TAM. P, M, G, GG E EXG</t>
  </si>
  <si>
    <t xml:space="preserve">UN</t>
  </si>
  <si>
    <t xml:space="preserve">CAMISA MANGA LONGA EM BRIM PESADO 100% ALGODÃO, AZUL ROYAL (OU COR DEFINIDA PELA SECRETARIA), GOLA ITALIANA, 1 BOLSO NO PEITO ESQ., MANGAS LONGAS C/ PUNHO; FAIXAS REFLETIVAS (ABNT NBR 15292/2023) NO PEITO E NAS MANGAS, CONTORNANDO A PEÇA; SILK COLORIDO: LOGO DA PREFEITURA NO BOLSO + LOGO E IDENTIFICAÇÃO DA SECRETARIA NAS COSTAS; ETIQUETA INTERNA E EMBALAGEM INDIVIDUAL — TAM. ESPECIAIS G1 AO G5 (MANEQUIM 48 A 64)</t>
  </si>
  <si>
    <t xml:space="preserve">CAMISA MANGA CURTA EM BRIM FINO 100% ALGODÃO, AZUL ROYAL (OU COR DEFINIDA PELA SECRETARIA), GOLA ITALIANA, 1 BOLSO NO PEITO ESQ. (TR TAMBÉM CITA "MANGAS LONGAS COM PUNHO" — CONFIRMAR); FAIXAS REFLETIVAS (ABNT NBR 15292/2023) NO PEITO E NAS MANGAS, CONTORNANDO A PEÇA; SILK COLORIDO: LOGO NO BOLSO + LOGO E SECRETARIA NAS COSTAS; ETIQUETA E EMBALAGEM INDIVIDUAL — TAM. P, M, G, GG E EXG</t>
  </si>
  <si>
    <t xml:space="preserve">CAMISETA MANGA LONGA EM DRY FIT COM PROTEÇÃO UV 50+, GOLA PADRE COM ZÍPER FRONTAL, SUBLIMAÇÃO TOTAL OU PARCIAL COLORIDA, PREF. AZUL MARINHO; BRASÃO NA FRENTE E INSCRIÇÃO NAS COSTAS ("SECRETARIA DE OBRAS E INFRAESTRUTURA – GESTÃO 2025 A 2028"); ETIQUETA E EMBALAGEM INDIVIDUAL — TAM. P, M, G, GG E EXG</t>
  </si>
  <si>
    <t xml:space="preserve">CAMISETA MANGA LONGA EM DRY FIT COM PROTEÇÃO UV 50+, GOLA PADRE COM ZÍPER FRONTAL, SUBLIMAÇÃO TOTAL OU PARCIAL COLORIDA, PREF. AZUL MARINHO; BRASÃO NA FRENTE E INSCRIÇÃO NAS COSTAS ("SECRETARIA DE OBRAS E INFRAESTRUTURA – GESTÃO 2025 A 2028"); ETIQUETA E EMBALAGEM INDIVIDUAL — TAM. ESPECIAIS G1 AO G5</t>
  </si>
  <si>
    <t xml:space="preserve">CAMISA POLO UNISSEX MANGA CURTA, SEM BOLSO, MALHA PIQUET 50% ALGODÃO / 50% POLIÉSTER, GOLA DURA, FECHAMENTO EM V C/ 2 BOTÕES, PUNHOS EM RIBANA; BRASÃO ESTAMPADO COLORIDO NO PEITO ESQ.; COR A DEFINIR PELA SECRETARIA — TAM. P, M, G, GG E EXG</t>
  </si>
  <si>
    <t xml:space="preserve">CAMISA POLO UNISSEX MANGA CURTA, SEM BOLSO, MALHA PIQUET 50% ALGODÃO / 50% POLIÉSTER, GOLA DURA, FECHAMENTO EM V C/ 2 BOTÕES, PUNHOS EM RIBANA; BRASÃO ESTAMPADO COLORIDO NO PEITO ESQ.; COR A DEFINIR PELA SECRETARIA — TAM. ESPECIAIS G1 AO G5</t>
  </si>
  <si>
    <t xml:space="preserve">CAMISA POLO UNISSEX MANGA CURTA EM MALHA 100% ALGODÃO, 1 BOLSO NO PEITO ESQ., GOLA DURA, FECHAMENTO EM V C/ 2 BOTÕES, PUNHOS EM RIBANA; BRASÃO ESTAMPADO COLORIDO NO BOLSO; COR A DEFINIR PELA SECRETARIA — TAM. P, M, G, GG E EXG</t>
  </si>
  <si>
    <t xml:space="preserve">CAMISA POLO UNISSEX MANGA CURTA EM MALHA 100% ALGODÃO, 1 BOLSO NO PEITO ESQ., GOLA DURA, FECHAMENTO EM V C/ 2 BOTÕES, PUNHOS EM RIBANA; BRASÃO ESTAMPADO COLORIDO NO BOLSO; COR A DEFINIR PELA SECRETARIA — TAM. ESPECIAIS G1 AO G5</t>
  </si>
  <si>
    <t xml:space="preserve">CAMISA MANGA LONGA EM MALHA FRIA (PV, EX.: 67% POLIÉSTER / 33% VISCOSE), AZUL ROYAL; FAIXAS REFLETIVAS PREF. VERDES (ABNT NBR 15292/2023) NO PEITO E NAS MANGAS; BOLSO FRONTAL ESQ. C/ BRASÃO COLORIDO ESTAMPADO; ESTAMPA NAS COSTAS ("SECRETARIA DE OBRAS E INFRAESTRUTURA – GESTÃO 2025 A 2028") — TAM. P, M, G, GG E EXG</t>
  </si>
  <si>
    <t xml:space="preserve">CAMISA MANGA LONGA EM MALHA FRIA (PV, EX.: 67% POLIÉSTER / 33% VISCOSE), AZUL ROYAL; FAIXAS REFLETIVAS PREF. VERDES (ABNT NBR 15292/2023) NO PEITO E NAS MANGAS; BOLSO FRONTAL ESQ. C/ BRASÃO COLORIDO ESTAMPADO; ESTAMPA NAS COSTAS ("SECRETARIA DE OBRAS E INFRAESTRUTURA – GESTÃO 2025 A 2028") — TAM. ESPECIAIS G1 AO G5</t>
  </si>
  <si>
    <t xml:space="preserve">CAMISA MANGA LONGA EM MALHA FRIA (PV, EX.: 67% POLIÉSTER / 33% VISCOSE), AZUL ROYAL; BOLSO FRONTAL ESQ. C/ BRASÃO COLORIDO ESTAMPADO; ESTAMPA NAS COSTAS ("SECRETARIA DE OBRAS E INFRAESTRUTURA – GESTÃO 2025 A 2028") — TAM. P, M, G, GG E EXG</t>
  </si>
  <si>
    <t xml:space="preserve">CAMISA MANGA LONGA EM MALHA FRIA (PV, EX.: 67% POLIÉSTER / 33% VISCOSE), AZUL ROYAL; BOLSO FRONTAL ESQ. C/ BRASÃO COLORIDO ESTAMPADO; ESTAMPA NAS COSTAS ("SECRETARIA DE OBRAS E INFRAESTRUTURA – GESTÃO 2025 A 2028") — TAM. ESPECIAIS G1 AO G5</t>
  </si>
  <si>
    <t xml:space="preserve">CAMISA MANGA CURTA EM MALHA FRIA (PV, EX.: 67% POLIÉSTER / 33% VISCOSE), AZUL ROYAL; FAIXAS REFLETIVAS PREF. VERDES (ABNT NBR 15292/2023) NO PEITO E NAS MANGAS; BOLSO FRONTAL ESQ. C/ BRASÃO COLORIDO ESTAMPADO; ESTAMPA NAS COSTAS ("SECRETARIA DE OBRAS E INFRAESTRUTURA – GESTÃO 2025 A 2028") — TAM. P, M, G, GG E EXG</t>
  </si>
  <si>
    <t xml:space="preserve">CAMISA MANGA CURTA EM MALHA FRIA (PV, EX.: 67% POLIÉSTER / 33% VISCOSE), AZUL ROYAL; FAIXAS REFLETIVAS PREF. VERDES (ABNT NBR 15292/2023) NO PEITO E NAS MANGAS; BOLSO FRONTAL ESQ. C/ BRASÃO COLORIDO ESTAMPADO; ESTAMPA NAS COSTAS ("SECRETARIA DE OBRAS E INFRAESTRUTURA – GESTÃO 2025 A 2028") — TAM. ESPECIAIS G1 AO G5</t>
  </si>
  <si>
    <t xml:space="preserve">CAMISA MANGA CURTA EM MALHA FRIA (PV, EX.: 67% POLIÉSTER / 33% VISCOSE), AZUL ROYAL; BOLSO FRONTAL ESQ. C/ BRASÃO COLORIDO ESTAMPADO; ESTAMPA NAS COSTAS ("SECRETARIA DE OBRAS E INFRAESTRUTURA – GESTÃO 2025 A 2028") — TAM. P, M, G, GG E EXG</t>
  </si>
  <si>
    <t xml:space="preserve">CAMISA MANGA CURTA EM MALHA FRIA (PV, EX.: 67% POLIÉSTER / 33% VISCOSE), AZUL ROYAL; BOLSO FRONTAL ESQ. C/ BRASÃO COLORIDO ESTAMPADO; ESTAMPA NAS COSTAS ("SECRETARIA DE OBRAS E INFRAESTRUTURA – GESTÃO 2025 A 2028") — TAM. ESPECIAIS G1 AO G5</t>
  </si>
  <si>
    <t xml:space="preserve">CALÇA EM BRIM PESADO 100% ALGODÃO, AZUL ROYAL (OU COR DEFINIDA), ELÁSTICO TOTAL NA CINTURA C/ CORDÃO; 2 BOLSOS FRONTAIS, 2 TRASEIROS E 1 BOLSO CARGO NA LATERAL DA PERNA DIREITA; FAIXAS REFLETIVAS (ABNT NBR 15292/2023) CONTORNANDO AMBAS AS PERNAS; JOELHOS ACOLCHOADOS; SILK COLORIDO DO LOGO NO BOLSO LATERAL; ETIQUETA E EMBALAGEM INDIVIDUAL — TAM. 36 AO 60</t>
  </si>
  <si>
    <t xml:space="preserve">CALÇA JEANS FEMININA BÁSICA, AZUL, LAVADA E AMACIADA, 98% ALGODÃO / 2% ELASTANO, 260 G/M², ZÍPER DE METAL REFORÇADO, CÓS POSTIÇO, 3 BOLSOS FRONTAIS (2 TIPO AMERICANO + 1 MOEDEIRO) E 2 TRASEIROS CHAPADOS — TAM. 36 AO 50</t>
  </si>
  <si>
    <t xml:space="preserve">CALÇA JEANS MASCULINA BÁSICA, AZUL, LAVADA E AMACIADA, 100% ALGODÃO, 260 G/M², ZÍPER DE METAL REFORÇADO, CÓS POSTIÇO, 3 BOLSOS FRONTAIS (2 TIPO AMERICANO + 1 MOEDEIRO) E 2 TRASEIROS CHAPADOS — TAM. 36 AO 60</t>
  </si>
  <si>
    <t xml:space="preserve">Total do lote 1</t>
  </si>
  <si>
    <t xml:space="preserve">TOTAL GERAL</t>
  </si>
  <si>
    <t xml:space="preserve">id</t>
  </si>
  <si>
    <t xml:space="preserve">2026-10-01-presidente-epitacio</t>
  </si>
  <si>
    <t xml:space="preserve">orgao</t>
  </si>
  <si>
    <t xml:space="preserve">Prefeitura Municipal da Estância Turística de Presidente Epitácio</t>
  </si>
  <si>
    <t xml:space="preserve">processo</t>
  </si>
  <si>
    <t xml:space="preserve">sessao</t>
  </si>
  <si>
    <t xml:space="preserve">2026-10-01T08:30</t>
  </si>
  <si>
    <t xml:space="preserve">portal</t>
  </si>
  <si>
    <t xml:space="preserve">criterio</t>
  </si>
  <si>
    <t xml:space="preserve">lote</t>
  </si>
  <si>
    <t xml:space="preserve">gerado_em</t>
  </si>
  <si>
    <t xml:space="preserve">2026-09-30 11:45</t>
  </si>
  <si>
    <t xml:space="preserve">fonte</t>
  </si>
  <si>
    <t xml:space="preserve">Edital PE 075/2026 — Anexo I e Termo de Referência da Sec. de Obras, item 3 (total estimado R$ 1.682.282,85; o item 1.2 do edital cita R$ 1.682.169,17)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</si>
</sst>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EEF1F5"/>
        <bgColor rgb="FFFFFBE0"/>
      </patternFill>
    </fill>
    <fill>
      <patternFill patternType="solid">
        <fgColor rgb="FFDCE3EE"/>
        <bgColor rgb="FFEEF1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EEF1F5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E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G36</f>
        <v>1682282.85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I36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COUNT(H15,H16,H17,H18,H19,H20,H21,H22,H23,H24,H25,H26,H27,H28,H29,H30,H31,H32,H33,H34)&amp;" de 20"</f>
        <v>0 de 20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102" hidden="false" customHeight="true" outlineLevel="0" collapsed="false">
      <c r="A15" s="12" t="n">
        <v>1</v>
      </c>
      <c r="B15" s="12" t="n">
        <v>1</v>
      </c>
      <c r="C15" s="13" t="s">
        <v>32</v>
      </c>
      <c r="D15" s="12" t="s">
        <v>33</v>
      </c>
      <c r="E15" s="14" t="n">
        <v>620</v>
      </c>
      <c r="F15" s="15" t="n">
        <v>97.5</v>
      </c>
      <c r="G15" s="15" t="n">
        <f aca="false">IF(F15="","",E15*F15)</f>
        <v>60450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115.5" hidden="false" customHeight="true" outlineLevel="0" collapsed="false">
      <c r="A16" s="12" t="n">
        <v>1</v>
      </c>
      <c r="B16" s="12" t="n">
        <v>2</v>
      </c>
      <c r="C16" s="13" t="s">
        <v>34</v>
      </c>
      <c r="D16" s="12" t="s">
        <v>33</v>
      </c>
      <c r="E16" s="14" t="n">
        <v>262</v>
      </c>
      <c r="F16" s="15" t="n">
        <v>112.67</v>
      </c>
      <c r="G16" s="15" t="n">
        <f aca="false">IF(F16="","",E16*F16)</f>
        <v>29519.54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102" hidden="false" customHeight="true" outlineLevel="0" collapsed="false">
      <c r="A17" s="12" t="n">
        <v>1</v>
      </c>
      <c r="B17" s="12" t="n">
        <v>3</v>
      </c>
      <c r="C17" s="13" t="s">
        <v>35</v>
      </c>
      <c r="D17" s="12" t="s">
        <v>33</v>
      </c>
      <c r="E17" s="14" t="n">
        <v>625</v>
      </c>
      <c r="F17" s="15" t="n">
        <v>93.8</v>
      </c>
      <c r="G17" s="15" t="n">
        <f aca="false">IF(F17="","",E17*F17)</f>
        <v>58625</v>
      </c>
      <c r="H17" s="16"/>
      <c r="I17" s="15" t="str">
        <f aca="false">IF(H17="","",E17*H17)</f>
        <v/>
      </c>
      <c r="J17" s="17" t="str">
        <f aca="false">IF(OR(H17="",F17=""),"",H17/F17)</f>
        <v/>
      </c>
      <c r="K17" s="18"/>
    </row>
    <row r="18" customFormat="false" ht="87.75" hidden="false" customHeight="true" outlineLevel="0" collapsed="false">
      <c r="A18" s="12" t="n">
        <v>1</v>
      </c>
      <c r="B18" s="12" t="n">
        <v>4</v>
      </c>
      <c r="C18" s="13" t="s">
        <v>36</v>
      </c>
      <c r="D18" s="12" t="s">
        <v>33</v>
      </c>
      <c r="E18" s="14" t="n">
        <v>1139</v>
      </c>
      <c r="F18" s="15" t="n">
        <v>68.61</v>
      </c>
      <c r="G18" s="15" t="n">
        <f aca="false">IF(F18="","",E18*F18)</f>
        <v>78146.79</v>
      </c>
      <c r="H18" s="16"/>
      <c r="I18" s="15" t="str">
        <f aca="false">IF(H18="","",E18*H18)</f>
        <v/>
      </c>
      <c r="J18" s="17" t="str">
        <f aca="false">IF(OR(H18="",F18=""),"",H18/F18)</f>
        <v/>
      </c>
      <c r="K18" s="18"/>
    </row>
    <row r="19" customFormat="false" ht="87.75" hidden="false" customHeight="true" outlineLevel="0" collapsed="false">
      <c r="A19" s="12" t="n">
        <v>1</v>
      </c>
      <c r="B19" s="12" t="n">
        <v>5</v>
      </c>
      <c r="C19" s="13" t="s">
        <v>37</v>
      </c>
      <c r="D19" s="12" t="s">
        <v>33</v>
      </c>
      <c r="E19" s="14" t="n">
        <v>532</v>
      </c>
      <c r="F19" s="15" t="n">
        <v>71.67</v>
      </c>
      <c r="G19" s="15" t="n">
        <f aca="false">IF(F19="","",E19*F19)</f>
        <v>38128.44</v>
      </c>
      <c r="H19" s="16"/>
      <c r="I19" s="15" t="str">
        <f aca="false">IF(H19="","",E19*H19)</f>
        <v/>
      </c>
      <c r="J19" s="17" t="str">
        <f aca="false">IF(OR(H19="",F19=""),"",H19/F19)</f>
        <v/>
      </c>
      <c r="K19" s="18"/>
    </row>
    <row r="20" customFormat="false" ht="73.5" hidden="false" customHeight="true" outlineLevel="0" collapsed="false">
      <c r="A20" s="12" t="n">
        <v>1</v>
      </c>
      <c r="B20" s="12" t="n">
        <v>6</v>
      </c>
      <c r="C20" s="13" t="s">
        <v>38</v>
      </c>
      <c r="D20" s="12" t="s">
        <v>33</v>
      </c>
      <c r="E20" s="14" t="n">
        <v>1044</v>
      </c>
      <c r="F20" s="15" t="n">
        <v>67.67</v>
      </c>
      <c r="G20" s="15" t="n">
        <f aca="false">IF(F20="","",E20*F20)</f>
        <v>70647.48</v>
      </c>
      <c r="H20" s="16"/>
      <c r="I20" s="15" t="str">
        <f aca="false">IF(H20="","",E20*H20)</f>
        <v/>
      </c>
      <c r="J20" s="17" t="str">
        <f aca="false">IF(OR(H20="",F20=""),"",H20/F20)</f>
        <v/>
      </c>
      <c r="K20" s="18"/>
    </row>
    <row r="21" customFormat="false" ht="73.5" hidden="false" customHeight="true" outlineLevel="0" collapsed="false">
      <c r="A21" s="12" t="n">
        <v>1</v>
      </c>
      <c r="B21" s="12" t="n">
        <v>7</v>
      </c>
      <c r="C21" s="13" t="s">
        <v>39</v>
      </c>
      <c r="D21" s="12" t="s">
        <v>33</v>
      </c>
      <c r="E21" s="14" t="n">
        <v>406</v>
      </c>
      <c r="F21" s="15" t="n">
        <v>72.08</v>
      </c>
      <c r="G21" s="15" t="n">
        <f aca="false">IF(F21="","",E21*F21)</f>
        <v>29264.48</v>
      </c>
      <c r="H21" s="16"/>
      <c r="I21" s="15" t="str">
        <f aca="false">IF(H21="","",E21*H21)</f>
        <v/>
      </c>
      <c r="J21" s="17" t="str">
        <f aca="false">IF(OR(H21="",F21=""),"",H21/F21)</f>
        <v/>
      </c>
      <c r="K21" s="18"/>
    </row>
    <row r="22" customFormat="false" ht="60" hidden="false" customHeight="true" outlineLevel="0" collapsed="false">
      <c r="A22" s="12" t="n">
        <v>1</v>
      </c>
      <c r="B22" s="12" t="n">
        <v>8</v>
      </c>
      <c r="C22" s="13" t="s">
        <v>40</v>
      </c>
      <c r="D22" s="12" t="s">
        <v>33</v>
      </c>
      <c r="E22" s="14" t="n">
        <v>3704</v>
      </c>
      <c r="F22" s="15" t="n">
        <v>71.63</v>
      </c>
      <c r="G22" s="15" t="n">
        <f aca="false">IF(F22="","",E22*F22)</f>
        <v>265317.52</v>
      </c>
      <c r="H22" s="16"/>
      <c r="I22" s="15" t="str">
        <f aca="false">IF(H22="","",E22*H22)</f>
        <v/>
      </c>
      <c r="J22" s="17" t="str">
        <f aca="false">IF(OR(H22="",F22=""),"",H22/F22)</f>
        <v/>
      </c>
      <c r="K22" s="18"/>
    </row>
    <row r="23" customFormat="false" ht="60" hidden="false" customHeight="true" outlineLevel="0" collapsed="false">
      <c r="A23" s="12" t="n">
        <v>1</v>
      </c>
      <c r="B23" s="12" t="n">
        <v>9</v>
      </c>
      <c r="C23" s="13" t="s">
        <v>41</v>
      </c>
      <c r="D23" s="12" t="s">
        <v>33</v>
      </c>
      <c r="E23" s="14" t="n">
        <v>606</v>
      </c>
      <c r="F23" s="15" t="n">
        <v>71</v>
      </c>
      <c r="G23" s="15" t="n">
        <f aca="false">IF(F23="","",E23*F23)</f>
        <v>43026</v>
      </c>
      <c r="H23" s="16"/>
      <c r="I23" s="15" t="str">
        <f aca="false">IF(H23="","",E23*H23)</f>
        <v/>
      </c>
      <c r="J23" s="17" t="str">
        <f aca="false">IF(OR(H23="",F23=""),"",H23/F23)</f>
        <v/>
      </c>
      <c r="K23" s="18"/>
    </row>
    <row r="24" customFormat="false" ht="87.75" hidden="false" customHeight="true" outlineLevel="0" collapsed="false">
      <c r="A24" s="12" t="n">
        <v>1</v>
      </c>
      <c r="B24" s="12" t="n">
        <v>10</v>
      </c>
      <c r="C24" s="13" t="s">
        <v>42</v>
      </c>
      <c r="D24" s="12" t="s">
        <v>33</v>
      </c>
      <c r="E24" s="14" t="n">
        <v>1160</v>
      </c>
      <c r="F24" s="15" t="n">
        <v>41.46</v>
      </c>
      <c r="G24" s="15" t="n">
        <f aca="false">IF(F24="","",E24*F24)</f>
        <v>48093.6</v>
      </c>
      <c r="H24" s="16"/>
      <c r="I24" s="15" t="str">
        <f aca="false">IF(H24="","",E24*H24)</f>
        <v/>
      </c>
      <c r="J24" s="17" t="str">
        <f aca="false">IF(OR(H24="",F24=""),"",H24/F24)</f>
        <v/>
      </c>
      <c r="K24" s="18"/>
    </row>
    <row r="25" customFormat="false" ht="87.75" hidden="false" customHeight="true" outlineLevel="0" collapsed="false">
      <c r="A25" s="12" t="n">
        <v>1</v>
      </c>
      <c r="B25" s="12" t="n">
        <v>11</v>
      </c>
      <c r="C25" s="13" t="s">
        <v>43</v>
      </c>
      <c r="D25" s="12" t="s">
        <v>33</v>
      </c>
      <c r="E25" s="14" t="n">
        <v>512</v>
      </c>
      <c r="F25" s="15" t="n">
        <v>45.64</v>
      </c>
      <c r="G25" s="15" t="n">
        <f aca="false">IF(F25="","",E25*F25)</f>
        <v>23367.68</v>
      </c>
      <c r="H25" s="16"/>
      <c r="I25" s="15" t="str">
        <f aca="false">IF(H25="","",E25*H25)</f>
        <v/>
      </c>
      <c r="J25" s="17" t="str">
        <f aca="false">IF(OR(H25="",F25=""),"",H25/F25)</f>
        <v/>
      </c>
      <c r="K25" s="18"/>
    </row>
    <row r="26" customFormat="false" ht="73.5" hidden="false" customHeight="true" outlineLevel="0" collapsed="false">
      <c r="A26" s="12" t="n">
        <v>1</v>
      </c>
      <c r="B26" s="12" t="n">
        <v>12</v>
      </c>
      <c r="C26" s="13" t="s">
        <v>44</v>
      </c>
      <c r="D26" s="12" t="s">
        <v>33</v>
      </c>
      <c r="E26" s="14" t="n">
        <v>1260</v>
      </c>
      <c r="F26" s="15" t="n">
        <v>45.39</v>
      </c>
      <c r="G26" s="15" t="n">
        <f aca="false">IF(F26="","",E26*F26)</f>
        <v>57191.4</v>
      </c>
      <c r="H26" s="16"/>
      <c r="I26" s="15" t="str">
        <f aca="false">IF(H26="","",E26*H26)</f>
        <v/>
      </c>
      <c r="J26" s="17" t="str">
        <f aca="false">IF(OR(H26="",F26=""),"",H26/F26)</f>
        <v/>
      </c>
      <c r="K26" s="18"/>
    </row>
    <row r="27" customFormat="false" ht="73.5" hidden="false" customHeight="true" outlineLevel="0" collapsed="false">
      <c r="A27" s="12" t="n">
        <v>1</v>
      </c>
      <c r="B27" s="12" t="n">
        <v>13</v>
      </c>
      <c r="C27" s="13" t="s">
        <v>45</v>
      </c>
      <c r="D27" s="12" t="s">
        <v>33</v>
      </c>
      <c r="E27" s="14" t="n">
        <v>672</v>
      </c>
      <c r="F27" s="15" t="n">
        <v>45.65</v>
      </c>
      <c r="G27" s="15" t="n">
        <f aca="false">IF(F27="","",E27*F27)</f>
        <v>30676.8</v>
      </c>
      <c r="H27" s="16"/>
      <c r="I27" s="15" t="str">
        <f aca="false">IF(H27="","",E27*H27)</f>
        <v/>
      </c>
      <c r="J27" s="17" t="str">
        <f aca="false">IF(OR(H27="",F27=""),"",H27/F27)</f>
        <v/>
      </c>
      <c r="K27" s="18"/>
    </row>
    <row r="28" customFormat="false" ht="87.75" hidden="false" customHeight="true" outlineLevel="0" collapsed="false">
      <c r="A28" s="12" t="n">
        <v>1</v>
      </c>
      <c r="B28" s="12" t="n">
        <v>14</v>
      </c>
      <c r="C28" s="13" t="s">
        <v>46</v>
      </c>
      <c r="D28" s="12" t="s">
        <v>33</v>
      </c>
      <c r="E28" s="14" t="n">
        <v>1060</v>
      </c>
      <c r="F28" s="15" t="n">
        <v>42.1</v>
      </c>
      <c r="G28" s="15" t="n">
        <f aca="false">IF(F28="","",E28*F28)</f>
        <v>44626</v>
      </c>
      <c r="H28" s="16"/>
      <c r="I28" s="15" t="str">
        <f aca="false">IF(H28="","",E28*H28)</f>
        <v/>
      </c>
      <c r="J28" s="17" t="str">
        <f aca="false">IF(OR(H28="",F28=""),"",H28/F28)</f>
        <v/>
      </c>
      <c r="K28" s="18"/>
    </row>
    <row r="29" customFormat="false" ht="87.75" hidden="false" customHeight="true" outlineLevel="0" collapsed="false">
      <c r="A29" s="12" t="n">
        <v>1</v>
      </c>
      <c r="B29" s="12" t="n">
        <v>15</v>
      </c>
      <c r="C29" s="13" t="s">
        <v>47</v>
      </c>
      <c r="D29" s="12" t="s">
        <v>33</v>
      </c>
      <c r="E29" s="14" t="n">
        <v>512</v>
      </c>
      <c r="F29" s="15" t="n">
        <v>44.99</v>
      </c>
      <c r="G29" s="15" t="n">
        <f aca="false">IF(F29="","",E29*F29)</f>
        <v>23034.88</v>
      </c>
      <c r="H29" s="16"/>
      <c r="I29" s="15" t="str">
        <f aca="false">IF(H29="","",E29*H29)</f>
        <v/>
      </c>
      <c r="J29" s="17" t="str">
        <f aca="false">IF(OR(H29="",F29=""),"",H29/F29)</f>
        <v/>
      </c>
      <c r="K29" s="18"/>
    </row>
    <row r="30" customFormat="false" ht="73.5" hidden="false" customHeight="true" outlineLevel="0" collapsed="false">
      <c r="A30" s="12" t="n">
        <v>1</v>
      </c>
      <c r="B30" s="12" t="n">
        <v>16</v>
      </c>
      <c r="C30" s="13" t="s">
        <v>48</v>
      </c>
      <c r="D30" s="12" t="s">
        <v>33</v>
      </c>
      <c r="E30" s="14" t="n">
        <v>4080</v>
      </c>
      <c r="F30" s="15" t="n">
        <v>42.87</v>
      </c>
      <c r="G30" s="15" t="n">
        <f aca="false">IF(F30="","",E30*F30)</f>
        <v>174909.6</v>
      </c>
      <c r="H30" s="16"/>
      <c r="I30" s="15" t="str">
        <f aca="false">IF(H30="","",E30*H30)</f>
        <v/>
      </c>
      <c r="J30" s="17" t="str">
        <f aca="false">IF(OR(H30="",F30=""),"",H30/F30)</f>
        <v/>
      </c>
      <c r="K30" s="18"/>
    </row>
    <row r="31" customFormat="false" ht="73.5" hidden="false" customHeight="true" outlineLevel="0" collapsed="false">
      <c r="A31" s="12" t="n">
        <v>1</v>
      </c>
      <c r="B31" s="12" t="n">
        <v>17</v>
      </c>
      <c r="C31" s="13" t="s">
        <v>49</v>
      </c>
      <c r="D31" s="12" t="s">
        <v>33</v>
      </c>
      <c r="E31" s="14" t="n">
        <v>822</v>
      </c>
      <c r="F31" s="15" t="n">
        <v>45.63</v>
      </c>
      <c r="G31" s="15" t="n">
        <f aca="false">IF(F31="","",E31*F31)</f>
        <v>37507.86</v>
      </c>
      <c r="H31" s="16"/>
      <c r="I31" s="15" t="str">
        <f aca="false">IF(H31="","",E31*H31)</f>
        <v/>
      </c>
      <c r="J31" s="17" t="str">
        <f aca="false">IF(OR(H31="",F31=""),"",H31/F31)</f>
        <v/>
      </c>
      <c r="K31" s="18"/>
    </row>
    <row r="32" customFormat="false" ht="102" hidden="false" customHeight="true" outlineLevel="0" collapsed="false">
      <c r="A32" s="12" t="n">
        <v>1</v>
      </c>
      <c r="B32" s="12" t="n">
        <v>18</v>
      </c>
      <c r="C32" s="13" t="s">
        <v>50</v>
      </c>
      <c r="D32" s="12" t="s">
        <v>33</v>
      </c>
      <c r="E32" s="14" t="n">
        <v>1400</v>
      </c>
      <c r="F32" s="15" t="n">
        <v>100.45</v>
      </c>
      <c r="G32" s="15" t="n">
        <f aca="false">IF(F32="","",E32*F32)</f>
        <v>140630</v>
      </c>
      <c r="H32" s="16"/>
      <c r="I32" s="15" t="str">
        <f aca="false">IF(H32="","",E32*H32)</f>
        <v/>
      </c>
      <c r="J32" s="17" t="str">
        <f aca="false">IF(OR(H32="",F32=""),"",H32/F32)</f>
        <v/>
      </c>
      <c r="K32" s="18"/>
    </row>
    <row r="33" customFormat="false" ht="60" hidden="false" customHeight="true" outlineLevel="0" collapsed="false">
      <c r="A33" s="12" t="n">
        <v>1</v>
      </c>
      <c r="B33" s="12" t="n">
        <v>19</v>
      </c>
      <c r="C33" s="13" t="s">
        <v>51</v>
      </c>
      <c r="D33" s="12" t="s">
        <v>33</v>
      </c>
      <c r="E33" s="14" t="n">
        <v>1570</v>
      </c>
      <c r="F33" s="15" t="n">
        <v>130.01</v>
      </c>
      <c r="G33" s="15" t="n">
        <f aca="false">IF(F33="","",E33*F33)</f>
        <v>204115.7</v>
      </c>
      <c r="H33" s="16"/>
      <c r="I33" s="15" t="str">
        <f aca="false">IF(H33="","",E33*H33)</f>
        <v/>
      </c>
      <c r="J33" s="17" t="str">
        <f aca="false">IF(OR(H33="",F33=""),"",H33/F33)</f>
        <v/>
      </c>
      <c r="K33" s="18"/>
    </row>
    <row r="34" customFormat="false" ht="60" hidden="false" customHeight="true" outlineLevel="0" collapsed="false">
      <c r="A34" s="12" t="n">
        <v>1</v>
      </c>
      <c r="B34" s="12" t="n">
        <v>20</v>
      </c>
      <c r="C34" s="13" t="s">
        <v>52</v>
      </c>
      <c r="D34" s="12" t="s">
        <v>33</v>
      </c>
      <c r="E34" s="14" t="n">
        <v>1862</v>
      </c>
      <c r="F34" s="15" t="n">
        <v>120.84</v>
      </c>
      <c r="G34" s="15" t="n">
        <f aca="false">IF(F34="","",E34*F34)</f>
        <v>225004.08</v>
      </c>
      <c r="H34" s="16"/>
      <c r="I34" s="15" t="str">
        <f aca="false">IF(H34="","",E34*H34)</f>
        <v/>
      </c>
      <c r="J34" s="17" t="str">
        <f aca="false">IF(OR(H34="",F34=""),"",H34/F34)</f>
        <v/>
      </c>
      <c r="K34" s="18"/>
    </row>
    <row r="35" customFormat="false" ht="15" hidden="false" customHeight="false" outlineLevel="0" collapsed="false">
      <c r="A35" s="19"/>
      <c r="B35" s="19"/>
      <c r="C35" s="20" t="s">
        <v>53</v>
      </c>
      <c r="D35" s="19"/>
      <c r="E35" s="19"/>
      <c r="F35" s="19"/>
      <c r="G35" s="21" t="n">
        <f aca="false">SUM(G15:G34)</f>
        <v>1682282.85</v>
      </c>
      <c r="H35" s="19"/>
      <c r="I35" s="21" t="n">
        <f aca="false">SUM(I15:I34)</f>
        <v>0</v>
      </c>
      <c r="J35" s="22" t="str">
        <f aca="false">IF(OR(I35=0,G35=0),"",I35/G35)</f>
        <v/>
      </c>
      <c r="K35" s="19"/>
    </row>
    <row r="36" customFormat="false" ht="15" hidden="false" customHeight="false" outlineLevel="0" collapsed="false">
      <c r="A36" s="23"/>
      <c r="B36" s="23"/>
      <c r="C36" s="24" t="s">
        <v>54</v>
      </c>
      <c r="D36" s="23"/>
      <c r="E36" s="23"/>
      <c r="F36" s="23"/>
      <c r="G36" s="25" t="n">
        <f aca="false">G35</f>
        <v>1682282.85</v>
      </c>
      <c r="H36" s="23"/>
      <c r="I36" s="25" t="n">
        <f aca="false">I35</f>
        <v>0</v>
      </c>
      <c r="J36" s="26" t="str">
        <f aca="false">IF(OR(I36=0,G36=0),"",I36/G36)</f>
        <v/>
      </c>
      <c r="K36" s="23"/>
    </row>
  </sheetData>
  <conditionalFormatting sqref="J15:J36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3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7" t="s">
        <v>55</v>
      </c>
      <c r="B1" s="28" t="s">
        <v>56</v>
      </c>
    </row>
    <row r="2" customFormat="false" ht="15" hidden="false" customHeight="false" outlineLevel="0" collapsed="false">
      <c r="A2" s="27" t="s">
        <v>57</v>
      </c>
      <c r="B2" s="28" t="s">
        <v>58</v>
      </c>
    </row>
    <row r="3" customFormat="false" ht="15" hidden="false" customHeight="false" outlineLevel="0" collapsed="false">
      <c r="A3" s="27" t="s">
        <v>59</v>
      </c>
      <c r="B3" s="28" t="s">
        <v>5</v>
      </c>
    </row>
    <row r="4" customFormat="false" ht="15" hidden="false" customHeight="false" outlineLevel="0" collapsed="false">
      <c r="A4" s="27" t="s">
        <v>60</v>
      </c>
      <c r="B4" s="28" t="s">
        <v>61</v>
      </c>
    </row>
    <row r="5" customFormat="false" ht="15" hidden="false" customHeight="false" outlineLevel="0" collapsed="false">
      <c r="A5" s="27" t="s">
        <v>62</v>
      </c>
      <c r="B5" s="28" t="s">
        <v>11</v>
      </c>
    </row>
    <row r="6" customFormat="false" ht="15" hidden="false" customHeight="false" outlineLevel="0" collapsed="false">
      <c r="A6" s="27" t="s">
        <v>63</v>
      </c>
      <c r="B6" s="28" t="s">
        <v>64</v>
      </c>
    </row>
    <row r="7" customFormat="false" ht="15" hidden="false" customHeight="false" outlineLevel="0" collapsed="false">
      <c r="A7" s="27" t="s">
        <v>65</v>
      </c>
      <c r="B7" s="28" t="s">
        <v>66</v>
      </c>
    </row>
    <row r="8" customFormat="false" ht="15" hidden="false" customHeight="false" outlineLevel="0" collapsed="false">
      <c r="A8" s="27" t="s">
        <v>67</v>
      </c>
      <c r="B8" s="2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2026-09-30T11:45:47Z</dcterms:created>
  <dc:creator>openpyxl</dc:creator>
  <dc:description/>
  <dc:language>en-US</dc:language>
  <cp:lastModifiedBy/>
  <dcterms:modified xsi:type="dcterms:W3CDTF">2026-09-30T11:45:47Z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