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eços" sheetId="1" state="visible" r:id="rId3"/>
    <sheet name="Controle" sheetId="2" state="hidden" r:id="rId4"/>
  </sheets>
  <definedNames>
    <definedName function="false" hidden="false" localSheetId="0" name="_xlnm.Print_Titles" vbProcedure="false">Preços!$14:$14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<sst xmlns="http://schemas.openxmlformats.org/spreadsheetml/2006/main" count="67" uniqueCount="57">
  <si>
    <t xml:space="preserve">TABELA NEGOCIAÇÃO PREGÃO - MENOR PREÇO ITEM</t>
  </si>
  <si>
    <t xml:space="preserve">Órgão</t>
  </si>
  <si>
    <t xml:space="preserve">Prefeitura Municipal de Pederneiras — Coordenadoria de Alimentação Escolar</t>
  </si>
  <si>
    <t xml:space="preserve">Total de entrada</t>
  </si>
  <si>
    <t xml:space="preserve">Processo</t>
  </si>
  <si>
    <t xml:space="preserve">Pregão Eletrônico nº 89/2026 — Proc. Adm. 3536703.415.00007491/2026-45</t>
  </si>
  <si>
    <t xml:space="preserve">Total mínimo</t>
  </si>
  <si>
    <t xml:space="preserve">Sessão</t>
  </si>
  <si>
    <t xml:space="preserve">quinta-feira, 08/10/2026 às 09:00 (Brasília)</t>
  </si>
  <si>
    <t xml:space="preserve">Mínimo ÷ entrada</t>
  </si>
  <si>
    <t xml:space="preserve">Portal</t>
  </si>
  <si>
    <t xml:space="preserve">Compras.gov.br (Comprasnet) — UASG 986835</t>
  </si>
  <si>
    <t xml:space="preserve">Itens preenchidos</t>
  </si>
  <si>
    <t xml:space="preserve">Critério</t>
  </si>
  <si>
    <t xml:space="preserve">Menor preço por item — disputa aberta e fechada</t>
  </si>
  <si>
    <t xml:space="preserve">Participação</t>
  </si>
  <si>
    <t xml:space="preserve">Exclusivo ME/EPP</t>
  </si>
  <si>
    <t xml:space="preserve">Preencher até</t>
  </si>
  <si>
    <t xml:space="preserve">07/10/2026 (quarta-feira) às 17h</t>
  </si>
  <si>
    <t xml:space="preserve">Preencha só a coluna amarela VALOR MÍNIMO (preço unitário). Totais e percentuais se calculam sozinhos. Linha vermelha em MÍN. ÷ ENTRADA = mínimo acima do valor de entrada do edital.</t>
  </si>
  <si>
    <t xml:space="preserve">Terminou? Salve com o mesmo nome de arquivo e envie para o Thiago.</t>
  </si>
  <si>
    <t xml:space="preserve">LOTE</t>
  </si>
  <si>
    <t xml:space="preserve">Nº ITEM</t>
  </si>
  <si>
    <t xml:space="preserve">ITEM</t>
  </si>
  <si>
    <t xml:space="preserve">UNID.</t>
  </si>
  <si>
    <t xml:space="preserve">QTDE</t>
  </si>
  <si>
    <t xml:space="preserve">VALOR DE ENTRADA</t>
  </si>
  <si>
    <t xml:space="preserve">TOTAL ENTRADA</t>
  </si>
  <si>
    <t xml:space="preserve">VALOR MÍNIMO</t>
  </si>
  <si>
    <t xml:space="preserve">TOTAL MÍNIMO</t>
  </si>
  <si>
    <t xml:space="preserve">MÍN. ÷ ENTRADA</t>
  </si>
  <si>
    <t xml:space="preserve">OBSERVAÇÃO</t>
  </si>
  <si>
    <t xml:space="preserve">AVENTAL EM BRIM NA COR BRANCA TIPO COZINHEIRA MEDINDO 80 X 60 CM (C X L)</t>
  </si>
  <si>
    <t xml:space="preserve">UN</t>
  </si>
  <si>
    <t xml:space="preserve">AVENTAL BATA OXFORD LISO FRENTE E COSTA (LXC) 46X70 COM TIRAS LATERAIS COM 29 CM SEM BOLSOS NA COR AZUL ROYAL</t>
  </si>
  <si>
    <t xml:space="preserve">CALÇA MASCULINA EM JEANS AMACIADO, 14 OZ, SEMI BAG, COSTURA DUPLA, BOLSO MODELO LEVIS, BOLSO TRASEIRO SILKADO COM OS DIZERES COORDENADORIA DE ALIMENTAÇÃO ESCOLAR NA COR BRANCA, COM ZÍPER DE 18 CM, CÓS ALTO, TAMANHOS DO 40 AO 58, GANCHOS PROPORCIONAIS À NUMERAÇÃO</t>
  </si>
  <si>
    <t xml:space="preserve">CALÇA FEMININA; MODELO: LEGGING; TIPO: MONTARIA; GANCHO MÉDIO; CÓS LARGO EM CORTE ANATÔMICO; COSTURAS REFORÇADAS; SEM BOLSO; TECIDO: 92% ALGODÃO E 8% ELASTANO; CONFECCIONADA EM SUPLEX; COR PRETA</t>
  </si>
  <si>
    <t xml:space="preserve">CAMISETA MALHA PIQUET 50% POLIÉSTER / 50% ALGODÃO, COR BRANCA, MANGA CURTA, GOLA POLO COM ABERTURA FRONTAL DE APROX. 14 CM SEM BOTÕES; BORDADO DO BRASÃO DA PREFEITURA NO LADO SUPERIOR ESQUERDO; SILK NAS COSTAS "ALIMENTAÇÃO ESCOLAR" EM PRETO; TAMANHOS PP AO XGG E ESPECIAL</t>
  </si>
  <si>
    <t xml:space="preserve">CAMISETA MANGA CURTA EM TECIDO P.A. DECOTE V, COR BRANCA, 50% POLIÉSTER / 50% ALGODÃO; SILK DO BRASÃO NA MANGA ESQUERDA E "ALIMENTAÇÃO ESCOLAR" NA MANGA DIREITA EM PRETO; TAMANHOS PP AO XGG E ESPECIAL</t>
  </si>
  <si>
    <t xml:space="preserve">CAMISETA MALHA PIQUET 50% POLIÉSTER / 50% ALGODÃO, COR AZUL MARINHO, MANGA CURTA, GOLA POLO COM ABERTURA FRONTAL DE APROX. 14 CM COM BOTÕES; BORDADO DO BRASÃO DA PREFEITURA NO LADO SUPERIOR ESQUERDO; SILK NAS COSTAS "ALIMENTAÇÃO ESCOLAR" EM BRANCO; TAMANHOS PP AO XGG E ESPECIAL</t>
  </si>
  <si>
    <t xml:space="preserve">JALECO SEM MANGA GOLA V COM 02 BOLSOS EM TECIDO OXFORD NA COR BRANCA; BORDADO NO LADO SUPERIOR ESQUERDO "ESTAGIÁRIO DE NUTRIÇÃO" NA COR VERDE BANDEIRA; TAMANHOS PP AO EXG</t>
  </si>
  <si>
    <t xml:space="preserve">CAMISETA MALHA PIQUET 50% POLIÉSTER / 50% ALGODÃO, MANGA CURTA, GOLA POLO COM ABERTURA FRONTAL DE APROX. 14 CM SEM BOTÕES; BORDADO DO LOGO (VERMELHO E VERDE) COM "COORDENADORIA ALIMENTAÇÃO ESCOLAR" EM PRETO NO LADO ESQUERDO; BRASÃO DA PREFEITURA NA MANGA DIREITA; TAMANHOS PP AO XGG E ESPECIAL</t>
  </si>
  <si>
    <t xml:space="preserve">TOTAL GERAL</t>
  </si>
  <si>
    <t xml:space="preserve">id</t>
  </si>
  <si>
    <t xml:space="preserve">2026-10-08-pederneiras</t>
  </si>
  <si>
    <t xml:space="preserve">orgao</t>
  </si>
  <si>
    <t xml:space="preserve">Prefeitura Municipal de Pederneiras</t>
  </si>
  <si>
    <t xml:space="preserve">processo</t>
  </si>
  <si>
    <t xml:space="preserve">sessao</t>
  </si>
  <si>
    <t xml:space="preserve">2026-10-08T09:00</t>
  </si>
  <si>
    <t xml:space="preserve">portal</t>
  </si>
  <si>
    <t xml:space="preserve">criterio</t>
  </si>
  <si>
    <t xml:space="preserve">item</t>
  </si>
  <si>
    <t xml:space="preserve">gerado_em</t>
  </si>
  <si>
    <t xml:space="preserve">2026-09-30 11:45</t>
  </si>
  <si>
    <t xml:space="preserve">fonte</t>
  </si>
  <si>
    <t xml:space="preserve">Edital PE 89/2026 — Anexo 01 Termo de Referência, item 1.1 (total estimado R$ 64.087,60)</t>
  </si>
</sst>
</file>

<file path=xl/styles.xml><?xml version="1.0" encoding="utf-8"?>
<styleSheet xmlns="http://schemas.openxmlformats.org/spreadsheetml/2006/main">
  <numFmts count="5">
    <numFmt numFmtId="164" formatCode="General"/>
    <numFmt numFmtId="165" formatCode="&quot;R$ &quot;#,##0.00;&quot;-R$ &quot;#,##0.00;\-"/>
    <numFmt numFmtId="166" formatCode="0%;\-0%;\-"/>
    <numFmt numFmtId="167" formatCode="@"/>
    <numFmt numFmtId="168" formatCode="#,##0"/>
  </numFmts>
  <fonts count="15">
    <font>
      <sz val="11"/>
      <color theme="1"/>
      <name val="Calibri"/>
      <family val="2"/>
      <charset val="1"/>
    </font>
    <font>
      <sz val="10"/>
      <name val="Arial"/>
      <family val="0"/>
    </font>
    <font>
      <sz val="10"/>
      <name val="Arial"/>
      <family val="0"/>
    </font>
    <font>
      <sz val="10"/>
      <name val="Arial"/>
      <family val="0"/>
    </font>
    <font>
      <b val="true"/>
      <sz val="20"/>
      <color rgb="FF13284A"/>
      <name val="Aptos Narrow"/>
      <family val="0"/>
      <charset val="1"/>
    </font>
    <font>
      <b val="true"/>
      <sz val="10"/>
      <color rgb="FF5B6679"/>
      <name val="Aptos Narrow"/>
      <family val="0"/>
      <charset val="1"/>
    </font>
    <font>
      <sz val="11"/>
      <color rgb="FF111C2E"/>
      <name val="Aptos Narrow"/>
      <family val="0"/>
      <charset val="1"/>
    </font>
    <font>
      <b val="true"/>
      <sz val="12"/>
      <color rgb="FF13284A"/>
      <name val="Aptos Narrow"/>
      <family val="0"/>
      <charset val="1"/>
    </font>
    <font>
      <b val="true"/>
      <sz val="11"/>
      <color rgb="FFB42318"/>
      <name val="Aptos Narrow"/>
      <family val="0"/>
      <charset val="1"/>
    </font>
    <font>
      <i val="true"/>
      <sz val="10"/>
      <color rgb="FF5B6679"/>
      <name val="Aptos Narrow"/>
      <family val="0"/>
      <charset val="1"/>
    </font>
    <font>
      <b val="true"/>
      <sz val="10"/>
      <color rgb="FFB42318"/>
      <name val="Aptos Narrow"/>
      <family val="0"/>
      <charset val="1"/>
    </font>
    <font>
      <b val="true"/>
      <sz val="10"/>
      <color rgb="FFFFFFFF"/>
      <name val="Aptos Narrow"/>
      <family val="0"/>
      <charset val="1"/>
    </font>
    <font>
      <sz val="10"/>
      <color rgb="FF111C2E"/>
      <name val="Aptos Narrow"/>
      <family val="0"/>
      <charset val="1"/>
    </font>
    <font>
      <b val="true"/>
      <sz val="11"/>
      <color rgb="FF111C2E"/>
      <name val="Aptos Narrow"/>
      <family val="0"/>
      <charset val="1"/>
    </font>
    <font>
      <b val="true"/>
      <sz val="10"/>
      <color rgb="FF111C2E"/>
      <name val="Aptos Narrow"/>
      <family val="0"/>
      <charset val="1"/>
    </font>
  </fonts>
  <fills count="6">
    <fill>
      <patternFill patternType="none"/>
    </fill>
    <fill>
      <patternFill patternType="gray125"/>
    </fill>
    <fill>
      <patternFill patternType="solid">
        <fgColor rgb="FF13284A"/>
        <bgColor rgb="FF111C2E"/>
      </patternFill>
    </fill>
    <fill>
      <patternFill patternType="solid">
        <fgColor rgb="FFFFF2A8"/>
        <bgColor rgb="FFFBE3C0"/>
      </patternFill>
    </fill>
    <fill>
      <patternFill patternType="solid">
        <fgColor rgb="FFFFFBE0"/>
        <bgColor rgb="FFFFFFFF"/>
      </patternFill>
    </fill>
    <fill>
      <patternFill patternType="solid">
        <fgColor rgb="FFDCE3EE"/>
        <bgColor rgb="FFC9CED6"/>
      </patternFill>
    </fill>
  </fills>
  <borders count="2">
    <border diagonalUp="false" diagonalDown="false">
      <left/>
      <right/>
      <top/>
      <bottom/>
      <diagonal/>
    </border>
    <border diagonalUp="false" diagonalDown="false">
      <left style="thin">
        <color rgb="FFC9CED6"/>
      </left>
      <right style="thin">
        <color rgb="FFC9CED6"/>
      </right>
      <top style="thin">
        <color rgb="FFC9CED6"/>
      </top>
      <bottom style="thin">
        <color rgb="FFC9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5" fontId="6" fillId="3"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center" vertical="top"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right" vertical="bottom" textRotation="0" wrapText="false" indent="0" shrinkToFit="false"/>
      <protection locked="true" hidden="false"/>
    </xf>
    <xf numFmtId="165" fontId="13" fillId="5" borderId="1" xfId="0" applyFont="true" applyBorder="true" applyAlignment="false" applyProtection="false">
      <alignment horizontal="general" vertical="bottom" textRotation="0" wrapText="false" indent="0" shrinkToFit="false"/>
      <protection locked="true" hidden="false"/>
    </xf>
    <xf numFmtId="166" fontId="13" fillId="5"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9A1C12"/>
      </font>
      <fill>
        <patternFill>
          <bgColor rgb="FFF8C9C3"/>
        </patternFill>
      </fill>
    </dxf>
    <dxf>
      <fill>
        <patternFill>
          <bgColor rgb="FFFBE3C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B42318"/>
      <rgbColor rgb="FFFFFBE0"/>
      <rgbColor rgb="FFDCE3EE"/>
      <rgbColor rgb="FF660066"/>
      <rgbColor rgb="FFFF8080"/>
      <rgbColor rgb="FF0066CC"/>
      <rgbColor rgb="FFC9CED6"/>
      <rgbColor rgb="FF000080"/>
      <rgbColor rgb="FFFF00FF"/>
      <rgbColor rgb="FFFFFF00"/>
      <rgbColor rgb="FF00FFFF"/>
      <rgbColor rgb="FF800080"/>
      <rgbColor rgb="FF800000"/>
      <rgbColor rgb="FF008080"/>
      <rgbColor rgb="FF0000FF"/>
      <rgbColor rgb="FF00CCFF"/>
      <rgbColor rgb="FFCCFFFF"/>
      <rgbColor rgb="FFFBE3C0"/>
      <rgbColor rgb="FFFFF2A8"/>
      <rgbColor rgb="FF99CCFF"/>
      <rgbColor rgb="FFFF99CC"/>
      <rgbColor rgb="FFCC99FF"/>
      <rgbColor rgb="FFF8C9C3"/>
      <rgbColor rgb="FF3366FF"/>
      <rgbColor rgb="FF33CCCC"/>
      <rgbColor rgb="FF99CC00"/>
      <rgbColor rgb="FFFFCC00"/>
      <rgbColor rgb="FFFF9900"/>
      <rgbColor rgb="FFFF6600"/>
      <rgbColor rgb="FF5B6679"/>
      <rgbColor rgb="FF969696"/>
      <rgbColor rgb="FF13284A"/>
      <rgbColor rgb="FF339966"/>
      <rgbColor rgb="FF111C2E"/>
      <rgbColor rgb="FF333300"/>
      <rgbColor rgb="FF9A1C12"/>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4" topLeftCell="D15" activePane="bottomRight" state="frozen"/>
      <selection pane="topLeft" activeCell="A1" activeCellId="0" sqref="A1"/>
      <selection pane="topRight" activeCell="D1" activeCellId="0" sqref="D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62"/>
    <col collapsed="false" customWidth="true" hidden="false" outlineLevel="0" max="4" min="4" style="0" width="7"/>
    <col collapsed="false" customWidth="true" hidden="false" outlineLevel="0" max="5" min="5" style="0" width="8"/>
    <col collapsed="false" customWidth="true" hidden="false" outlineLevel="0" max="6" min="6" style="0" width="14"/>
    <col collapsed="false" customWidth="true" hidden="false" outlineLevel="0" max="7" min="7" style="0" width="19"/>
    <col collapsed="false" customWidth="true" hidden="false" outlineLevel="0" max="8" min="8" style="0" width="14"/>
    <col collapsed="false" customWidth="true" hidden="false" outlineLevel="0" max="9" min="9" style="0" width="19"/>
    <col collapsed="false" customWidth="true" hidden="false" outlineLevel="0" max="10" min="10" style="0" width="11"/>
    <col collapsed="false" customWidth="true" hidden="false" outlineLevel="0" max="11" min="11" style="0" width="34"/>
  </cols>
  <sheetData>
    <row r="1" customFormat="false" ht="30" hidden="false" customHeight="true" outlineLevel="0" collapsed="false">
      <c r="A1" s="1" t="s">
        <v>0</v>
      </c>
    </row>
    <row r="3" customFormat="false" ht="15" hidden="false" customHeight="false" outlineLevel="0" collapsed="false">
      <c r="A3" s="2" t="s">
        <v>1</v>
      </c>
      <c r="C3" s="3" t="s">
        <v>2</v>
      </c>
      <c r="H3" s="4" t="s">
        <v>3</v>
      </c>
      <c r="I3" s="5" t="n">
        <f aca="false">G24</f>
        <v>64087.6</v>
      </c>
    </row>
    <row r="4" customFormat="false" ht="15" hidden="false" customHeight="false" outlineLevel="0" collapsed="false">
      <c r="A4" s="2" t="s">
        <v>4</v>
      </c>
      <c r="C4" s="3" t="s">
        <v>5</v>
      </c>
      <c r="H4" s="4" t="s">
        <v>6</v>
      </c>
      <c r="I4" s="5" t="n">
        <f aca="false">I24</f>
        <v>0</v>
      </c>
    </row>
    <row r="5" customFormat="false" ht="15" hidden="false" customHeight="false" outlineLevel="0" collapsed="false">
      <c r="A5" s="2" t="s">
        <v>7</v>
      </c>
      <c r="C5" s="3" t="s">
        <v>8</v>
      </c>
      <c r="H5" s="4" t="s">
        <v>9</v>
      </c>
      <c r="I5" s="6" t="str">
        <f aca="false">IF(OR(I4=0,I3=0),"",I4/I3)</f>
        <v/>
      </c>
    </row>
    <row r="6" customFormat="false" ht="15" hidden="false" customHeight="false" outlineLevel="0" collapsed="false">
      <c r="A6" s="2" t="s">
        <v>10</v>
      </c>
      <c r="C6" s="3" t="s">
        <v>11</v>
      </c>
      <c r="H6" s="4" t="s">
        <v>12</v>
      </c>
      <c r="I6" s="7" t="str">
        <f aca="false">COUNT(H15:H23)&amp;" de 9"</f>
        <v>0 de 9</v>
      </c>
    </row>
    <row r="7" customFormat="false" ht="15" hidden="false" customHeight="false" outlineLevel="0" collapsed="false">
      <c r="A7" s="2" t="s">
        <v>13</v>
      </c>
      <c r="C7" s="3" t="s">
        <v>14</v>
      </c>
    </row>
    <row r="8" customFormat="false" ht="15" hidden="false" customHeight="false" outlineLevel="0" collapsed="false">
      <c r="A8" s="2" t="s">
        <v>15</v>
      </c>
      <c r="C8" s="3" t="s">
        <v>16</v>
      </c>
    </row>
    <row r="9" customFormat="false" ht="15" hidden="false" customHeight="false" outlineLevel="0" collapsed="false">
      <c r="A9" s="2" t="s">
        <v>17</v>
      </c>
      <c r="C9" s="8" t="s">
        <v>18</v>
      </c>
    </row>
    <row r="11" customFormat="false" ht="15" hidden="false" customHeight="false" outlineLevel="0" collapsed="false">
      <c r="A11" s="9" t="s">
        <v>19</v>
      </c>
    </row>
    <row r="12" customFormat="false" ht="15" hidden="false" customHeight="false" outlineLevel="0" collapsed="false">
      <c r="A12" s="10" t="s">
        <v>20</v>
      </c>
    </row>
    <row r="14" customFormat="false" ht="31.5" hidden="false" customHeight="true" outlineLevel="0" collapsed="false">
      <c r="A14" s="11" t="s">
        <v>21</v>
      </c>
      <c r="B14" s="11" t="s">
        <v>22</v>
      </c>
      <c r="C14" s="11" t="s">
        <v>23</v>
      </c>
      <c r="D14" s="11" t="s">
        <v>24</v>
      </c>
      <c r="E14" s="11" t="s">
        <v>25</v>
      </c>
      <c r="F14" s="11" t="s">
        <v>26</v>
      </c>
      <c r="G14" s="11" t="s">
        <v>27</v>
      </c>
      <c r="H14" s="11" t="s">
        <v>28</v>
      </c>
      <c r="I14" s="11" t="s">
        <v>29</v>
      </c>
      <c r="J14" s="11" t="s">
        <v>30</v>
      </c>
      <c r="K14" s="11" t="s">
        <v>31</v>
      </c>
    </row>
    <row r="15" customFormat="false" ht="31.5" hidden="false" customHeight="true" outlineLevel="0" collapsed="false">
      <c r="A15" s="12"/>
      <c r="B15" s="12" t="n">
        <v>1</v>
      </c>
      <c r="C15" s="13" t="s">
        <v>32</v>
      </c>
      <c r="D15" s="12" t="s">
        <v>33</v>
      </c>
      <c r="E15" s="14" t="n">
        <v>250</v>
      </c>
      <c r="F15" s="15" t="n">
        <v>40.7</v>
      </c>
      <c r="G15" s="15" t="n">
        <f aca="false">IF(F15="","",E15*F15)</f>
        <v>10175</v>
      </c>
      <c r="H15" s="16"/>
      <c r="I15" s="15" t="str">
        <f aca="false">IF(H15="","",E15*H15)</f>
        <v/>
      </c>
      <c r="J15" s="17" t="str">
        <f aca="false">IF(OR(H15="",F15=""),"",H15/F15)</f>
        <v/>
      </c>
      <c r="K15" s="18"/>
    </row>
    <row r="16" customFormat="false" ht="31.5" hidden="false" customHeight="true" outlineLevel="0" collapsed="false">
      <c r="A16" s="12"/>
      <c r="B16" s="12" t="n">
        <v>2</v>
      </c>
      <c r="C16" s="13" t="s">
        <v>34</v>
      </c>
      <c r="D16" s="12" t="s">
        <v>33</v>
      </c>
      <c r="E16" s="14" t="n">
        <v>200</v>
      </c>
      <c r="F16" s="15" t="n">
        <v>36.43</v>
      </c>
      <c r="G16" s="15" t="n">
        <f aca="false">IF(F16="","",E16*F16)</f>
        <v>7286</v>
      </c>
      <c r="H16" s="16"/>
      <c r="I16" s="15" t="str">
        <f aca="false">IF(H16="","",E16*H16)</f>
        <v/>
      </c>
      <c r="J16" s="17" t="str">
        <f aca="false">IF(OR(H16="",F16=""),"",H16/F16)</f>
        <v/>
      </c>
      <c r="K16" s="18"/>
    </row>
    <row r="17" customFormat="false" ht="73.5" hidden="false" customHeight="true" outlineLevel="0" collapsed="false">
      <c r="A17" s="12"/>
      <c r="B17" s="12" t="n">
        <v>3</v>
      </c>
      <c r="C17" s="13" t="s">
        <v>35</v>
      </c>
      <c r="D17" s="12" t="s">
        <v>33</v>
      </c>
      <c r="E17" s="14" t="n">
        <v>60</v>
      </c>
      <c r="F17" s="15" t="n">
        <v>68.94</v>
      </c>
      <c r="G17" s="15" t="n">
        <f aca="false">IF(F17="","",E17*F17)</f>
        <v>4136.4</v>
      </c>
      <c r="H17" s="16"/>
      <c r="I17" s="15" t="str">
        <f aca="false">IF(H17="","",E17*H17)</f>
        <v/>
      </c>
      <c r="J17" s="17" t="str">
        <f aca="false">IF(OR(H17="",F17=""),"",H17/F17)</f>
        <v/>
      </c>
      <c r="K17" s="18"/>
    </row>
    <row r="18" customFormat="false" ht="60" hidden="false" customHeight="true" outlineLevel="0" collapsed="false">
      <c r="A18" s="12"/>
      <c r="B18" s="12" t="n">
        <v>4</v>
      </c>
      <c r="C18" s="13" t="s">
        <v>36</v>
      </c>
      <c r="D18" s="12" t="s">
        <v>33</v>
      </c>
      <c r="E18" s="14" t="n">
        <v>260</v>
      </c>
      <c r="F18" s="15" t="n">
        <v>52.5</v>
      </c>
      <c r="G18" s="15" t="n">
        <f aca="false">IF(F18="","",E18*F18)</f>
        <v>13650</v>
      </c>
      <c r="H18" s="16"/>
      <c r="I18" s="15" t="str">
        <f aca="false">IF(H18="","",E18*H18)</f>
        <v/>
      </c>
      <c r="J18" s="17" t="str">
        <f aca="false">IF(OR(H18="",F18=""),"",H18/F18)</f>
        <v/>
      </c>
      <c r="K18" s="18"/>
    </row>
    <row r="19" customFormat="false" ht="73.5" hidden="false" customHeight="true" outlineLevel="0" collapsed="false">
      <c r="A19" s="12"/>
      <c r="B19" s="12" t="n">
        <v>5</v>
      </c>
      <c r="C19" s="13" t="s">
        <v>37</v>
      </c>
      <c r="D19" s="12" t="s">
        <v>33</v>
      </c>
      <c r="E19" s="14" t="n">
        <v>300</v>
      </c>
      <c r="F19" s="15" t="n">
        <v>48.74</v>
      </c>
      <c r="G19" s="15" t="n">
        <f aca="false">IF(F19="","",E19*F19)</f>
        <v>14622</v>
      </c>
      <c r="H19" s="16"/>
      <c r="I19" s="15" t="str">
        <f aca="false">IF(H19="","",E19*H19)</f>
        <v/>
      </c>
      <c r="J19" s="17" t="str">
        <f aca="false">IF(OR(H19="",F19=""),"",H19/F19)</f>
        <v/>
      </c>
      <c r="K19" s="18"/>
    </row>
    <row r="20" customFormat="false" ht="60" hidden="false" customHeight="true" outlineLevel="0" collapsed="false">
      <c r="A20" s="12"/>
      <c r="B20" s="12" t="n">
        <v>6</v>
      </c>
      <c r="C20" s="13" t="s">
        <v>38</v>
      </c>
      <c r="D20" s="12" t="s">
        <v>33</v>
      </c>
      <c r="E20" s="14" t="n">
        <v>300</v>
      </c>
      <c r="F20" s="15" t="n">
        <v>34.96</v>
      </c>
      <c r="G20" s="15" t="n">
        <f aca="false">IF(F20="","",E20*F20)</f>
        <v>10488</v>
      </c>
      <c r="H20" s="16"/>
      <c r="I20" s="15" t="str">
        <f aca="false">IF(H20="","",E20*H20)</f>
        <v/>
      </c>
      <c r="J20" s="17" t="str">
        <f aca="false">IF(OR(H20="",F20=""),"",H20/F20)</f>
        <v/>
      </c>
      <c r="K20" s="18"/>
    </row>
    <row r="21" customFormat="false" ht="73.5" hidden="false" customHeight="true" outlineLevel="0" collapsed="false">
      <c r="A21" s="12"/>
      <c r="B21" s="12" t="n">
        <v>7</v>
      </c>
      <c r="C21" s="13" t="s">
        <v>39</v>
      </c>
      <c r="D21" s="12" t="s">
        <v>33</v>
      </c>
      <c r="E21" s="14" t="n">
        <v>50</v>
      </c>
      <c r="F21" s="15" t="n">
        <v>48.74</v>
      </c>
      <c r="G21" s="15" t="n">
        <f aca="false">IF(F21="","",E21*F21)</f>
        <v>2437</v>
      </c>
      <c r="H21" s="16"/>
      <c r="I21" s="15" t="str">
        <f aca="false">IF(H21="","",E21*H21)</f>
        <v/>
      </c>
      <c r="J21" s="17" t="str">
        <f aca="false">IF(OR(H21="",F21=""),"",H21/F21)</f>
        <v/>
      </c>
      <c r="K21" s="18"/>
    </row>
    <row r="22" customFormat="false" ht="45.75" hidden="false" customHeight="true" outlineLevel="0" collapsed="false">
      <c r="A22" s="12"/>
      <c r="B22" s="12" t="n">
        <v>8</v>
      </c>
      <c r="C22" s="13" t="s">
        <v>40</v>
      </c>
      <c r="D22" s="12" t="s">
        <v>33</v>
      </c>
      <c r="E22" s="14" t="n">
        <v>6</v>
      </c>
      <c r="F22" s="15" t="n">
        <v>56.5</v>
      </c>
      <c r="G22" s="15" t="n">
        <f aca="false">IF(F22="","",E22*F22)</f>
        <v>339</v>
      </c>
      <c r="H22" s="16"/>
      <c r="I22" s="15" t="str">
        <f aca="false">IF(H22="","",E22*H22)</f>
        <v/>
      </c>
      <c r="J22" s="17" t="str">
        <f aca="false">IF(OR(H22="",F22=""),"",H22/F22)</f>
        <v/>
      </c>
      <c r="K22" s="18"/>
    </row>
    <row r="23" customFormat="false" ht="87.75" hidden="false" customHeight="true" outlineLevel="0" collapsed="false">
      <c r="A23" s="12"/>
      <c r="B23" s="12" t="n">
        <v>9</v>
      </c>
      <c r="C23" s="13" t="s">
        <v>41</v>
      </c>
      <c r="D23" s="12" t="s">
        <v>33</v>
      </c>
      <c r="E23" s="14" t="n">
        <v>20</v>
      </c>
      <c r="F23" s="15" t="n">
        <v>47.71</v>
      </c>
      <c r="G23" s="15" t="n">
        <f aca="false">IF(F23="","",E23*F23)</f>
        <v>954.2</v>
      </c>
      <c r="H23" s="16"/>
      <c r="I23" s="15" t="str">
        <f aca="false">IF(H23="","",E23*H23)</f>
        <v/>
      </c>
      <c r="J23" s="17" t="str">
        <f aca="false">IF(OR(H23="",F23=""),"",H23/F23)</f>
        <v/>
      </c>
      <c r="K23" s="18"/>
    </row>
    <row r="24" customFormat="false" ht="15" hidden="false" customHeight="false" outlineLevel="0" collapsed="false">
      <c r="A24" s="19"/>
      <c r="B24" s="19"/>
      <c r="C24" s="20" t="s">
        <v>42</v>
      </c>
      <c r="D24" s="19"/>
      <c r="E24" s="19"/>
      <c r="F24" s="19"/>
      <c r="G24" s="21" t="n">
        <f aca="false">SUM(G15:G23)</f>
        <v>64087.6</v>
      </c>
      <c r="H24" s="19"/>
      <c r="I24" s="21" t="n">
        <f aca="false">SUM(I15:I23)</f>
        <v>0</v>
      </c>
      <c r="J24" s="22" t="str">
        <f aca="false">IF(OR(I24=0,G24=0),"",I24/G24)</f>
        <v/>
      </c>
      <c r="K24" s="19"/>
    </row>
  </sheetData>
  <conditionalFormatting sqref="J15:J24">
    <cfRule type="expression" priority="2" aboveAverage="0" equalAverage="0" bottom="0" percent="0" rank="0" text="" dxfId="0">
      <formula>AND(ISNUMBER(J15),J15&gt;=1)</formula>
    </cfRule>
    <cfRule type="expression" priority="3" aboveAverage="0" equalAverage="0" bottom="0" percent="0" rank="0" text="" dxfId="1">
      <formula>AND(ISNUMBER(J15),J15&gt;=0.9,J15&lt;1)</formula>
    </cfRule>
  </conditionalFormatting>
  <dataValidations count="1">
    <dataValidation allowBlank="true" error="Digite o valor unitário em reais, só números (ex.: 45,90)." errorStyle="stop" errorTitle="Valor inválido" operator="greaterThanOrEqual" showDropDown="false" showErrorMessage="false" showInputMessage="false" sqref="H15:H23"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0"/>
  </cols>
  <sheetData>
    <row r="1" customFormat="false" ht="15" hidden="false" customHeight="false" outlineLevel="0" collapsed="false">
      <c r="A1" s="23" t="s">
        <v>43</v>
      </c>
      <c r="B1" s="24" t="s">
        <v>44</v>
      </c>
    </row>
    <row r="2" customFormat="false" ht="15" hidden="false" customHeight="false" outlineLevel="0" collapsed="false">
      <c r="A2" s="23" t="s">
        <v>45</v>
      </c>
      <c r="B2" s="24" t="s">
        <v>46</v>
      </c>
    </row>
    <row r="3" customFormat="false" ht="15" hidden="false" customHeight="false" outlineLevel="0" collapsed="false">
      <c r="A3" s="23" t="s">
        <v>47</v>
      </c>
      <c r="B3" s="24" t="s">
        <v>5</v>
      </c>
    </row>
    <row r="4" customFormat="false" ht="15" hidden="false" customHeight="false" outlineLevel="0" collapsed="false">
      <c r="A4" s="23" t="s">
        <v>48</v>
      </c>
      <c r="B4" s="24" t="s">
        <v>49</v>
      </c>
    </row>
    <row r="5" customFormat="false" ht="15" hidden="false" customHeight="false" outlineLevel="0" collapsed="false">
      <c r="A5" s="23" t="s">
        <v>50</v>
      </c>
      <c r="B5" s="24" t="s">
        <v>11</v>
      </c>
    </row>
    <row r="6" customFormat="false" ht="15" hidden="false" customHeight="false" outlineLevel="0" collapsed="false">
      <c r="A6" s="23" t="s">
        <v>51</v>
      </c>
      <c r="B6" s="24" t="s">
        <v>52</v>
      </c>
    </row>
    <row r="7" customFormat="false" ht="15" hidden="false" customHeight="false" outlineLevel="0" collapsed="false">
      <c r="A7" s="23" t="s">
        <v>53</v>
      </c>
      <c r="B7" s="24" t="s">
        <v>54</v>
      </c>
    </row>
    <row r="8" customFormat="false" ht="15" hidden="false" customHeight="false" outlineLevel="0" collapsed="false">
      <c r="A8" s="23" t="s">
        <v>55</v>
      </c>
      <c r="B8" s="24"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2026-09-30T11:45:55Z</dcterms:created>
  <dc:creator>openpyxl</dc:creator>
  <dc:description/>
  <dc:language>en-US</dc:language>
  <cp:lastModifiedBy/>
  <dcterms:modified xsi:type="dcterms:W3CDTF">2026-09-30T11:45:55Z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