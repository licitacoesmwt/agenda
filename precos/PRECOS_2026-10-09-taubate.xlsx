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ços" sheetId="1" state="visible" r:id="rId3"/>
    <sheet name="Controle" sheetId="2" state="hidden" r:id="rId4"/>
  </sheets>
  <definedNames>
    <definedName function="false" hidden="false" localSheetId="0" name="_xlnm.Print_Titles" vbProcedure="false">Preços!$14:$14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<sst xmlns="http://schemas.openxmlformats.org/spreadsheetml/2006/main" count="53" uniqueCount="51">
  <si>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TABELA NEGOCIAÇÃO PREGÃO - MENOR PREÇO ITEM</t>
  </si>
  <si>
    <t xml:space="preserve">Órgão</t>
  </si>
  <si>
    <t xml:space="preserve">Prefeitura Municipal de Taubaté — Secretaria Municipal do Meio Ambiente e Bem-Estar Animal</t>
  </si>
  <si>
    <t xml:space="preserve">Total de entrada</t>
  </si>
  <si>
    <t xml:space="preserve">Processo</t>
  </si>
  <si>
    <t xml:space="preserve">Pregão Eletrônico nº 218/2026 — Proc. Adm. 23.717/2026</t>
  </si>
  <si>
    <t xml:space="preserve">Total mínimo</t>
  </si>
  <si>
    <t xml:space="preserve">Sessão</t>
  </si>
  <si>
    <t xml:space="preserve">sexta-feira, 09/10/2026 às 08:30 (Brasília)</t>
  </si>
  <si>
    <t xml:space="preserve">Mínimo ÷ entrada</t>
  </si>
  <si>
    <t xml:space="preserve">Portal</t>
  </si>
  <si>
    <t xml:space="preserve">BBMNET (novobbmnet.com.br)</t>
  </si>
  <si>
    <t xml:space="preserve">Itens preenchidos</t>
  </si>
  <si>
    <t xml:space="preserve">Critério</t>
  </si>
  <si>
    <t xml:space="preserve">Menor preço por item — disputa aberta</t>
  </si>
  <si>
    <t xml:space="preserve">Participação</t>
  </si>
  <si>
    <t xml:space="preserve">Exclusivo ME/EPP</t>
  </si>
  <si>
    <t xml:space="preserve">Preencher até</t>
  </si>
  <si>
    <t xml:space="preserve">08/10/2026 (quinta-feira) às 17h</t>
  </si>
  <si>
    <t xml:space="preserve">Preencha só a coluna amarela VALOR MÍNIMO (preço unitário). Totais e percentuais se calculam sozinhos. Linha vermelha em MÍN. ÷ ENTRADA = mínimo acima do valor de entrada do edital.</t>
  </si>
  <si>
    <t xml:space="preserve">Terminou? Salve com o mesmo nome de arquivo e envie para o Thiago.</t>
  </si>
  <si>
    <t xml:space="preserve">LOTE</t>
  </si>
  <si>
    <t xml:space="preserve">Nº ITEM</t>
  </si>
  <si>
    <t xml:space="preserve">ITEM</t>
  </si>
  <si>
    <t xml:space="preserve">UNID.</t>
  </si>
  <si>
    <t xml:space="preserve">QTDE</t>
  </si>
  <si>
    <t xml:space="preserve">VALOR DE ENTRADA</t>
  </si>
  <si>
    <t xml:space="preserve">TOTAL ENTRADA</t>
  </si>
  <si>
    <t xml:space="preserve">VALOR MÍNIMO</t>
  </si>
  <si>
    <t xml:space="preserve">TOTAL MÍNIMO</t>
  </si>
  <si>
    <t xml:space="preserve">MÍN. ÷ ENTRADA</t>
  </si>
  <si>
    <t xml:space="preserve">OBSERVAÇÃO</t>
  </si>
  <si>
    <t xml:space="preserve">CALÇA EM BRIM PESADO 100% ALGODÃO (OU MISTO) DE ALTA RESISTÊNCIA, MODELAGEM OPERACIONAL TIPO CARGO: 2 BOLSOS FACA FRONTAIS, 2 BOLSOS LATERAIS CARGO E 1 BOLSO TRASEIRO; CÓS MEIO-ELÁSTICO; COSTURAS DUPLAS REFORÇADAS; COR VERDE MILITAR OU PRETO (A ESCOLHER NA AF); TAMANHOS P, M, G, GG, EG E ESPECIAIS. ATENÇÃO: o Anexo I (modelo de proposta) descreve outra peça — calça brim masculina c/ elástico e cadarço, 3 bolsos, 67% algodão/33% poliéster, azul royal, tam. 40 — conferir descrição na plataforma</t>
  </si>
  <si>
    <t xml:space="preserve">UN</t>
  </si>
  <si>
    <t xml:space="preserve">CAMISETA EM TECIDO PV (POLIÉSTER COM VISCOSE) ANTI-PILLING, COR VERDE (TONALIDADE A ESCOLHER NA AF); SILK FRENTE: BRASÃO MUNICIPAL 10X10 CM COM INSCRIÇÃO "SECRETARIA MUNICIPAL DE MEIO AMBIENTE E BEM ESTAR ANIMAL"; SILK COSTAS: "MEIO AMBIENTE" (ÁREA ATÉ 40X40 CM); TAMANHOS P, M, G, GG, G1 E G2</t>
  </si>
  <si>
    <t xml:space="preserve">PC</t>
  </si>
  <si>
    <t xml:space="preserve">TOTAL GERAL</t>
  </si>
  <si>
    <t xml:space="preserve">id</t>
  </si>
  <si>
    <t xml:space="preserve">2026-10-09-taubate</t>
  </si>
  <si>
    <t xml:space="preserve">orgao</t>
  </si>
  <si>
    <t xml:space="preserve">Prefeitura Municipal de Taubaté</t>
  </si>
  <si>
    <t xml:space="preserve">processo</t>
  </si>
  <si>
    <t xml:space="preserve">sessao</t>
  </si>
  <si>
    <t xml:space="preserve">2026-10-09T08:30</t>
  </si>
  <si>
    <t xml:space="preserve">portal</t>
  </si>
  <si>
    <t xml:space="preserve">criterio</t>
  </si>
  <si>
    <t xml:space="preserve">item</t>
  </si>
  <si>
    <t xml:space="preserve">gerado_em</t>
  </si>
  <si>
    <t xml:space="preserve">2026-09-30 11:46</t>
  </si>
  <si>
    <t xml:space="preserve">fonte</t>
  </si>
  <si>
    <t xml:space="preserve">Edital PE 218/2026 — Anexo V Termo de Referência, item 1.2.1 + Mapa de Preços (item IX) (total estimado R$ 15.738,00)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</si>
</sst>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-R$ &quot;#,##0.00;\-"/>
    <numFmt numFmtId="166" formatCode="0%;\-0%;\-"/>
    <numFmt numFmtId="167" formatCode="@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3284A"/>
      <name val="Aptos Narrow"/>
      <family val="0"/>
      <charset val="1"/>
    </font>
    <font>
      <b val="true"/>
      <sz val="10"/>
      <color rgb="FF5B6679"/>
      <name val="Aptos Narrow"/>
      <family val="0"/>
      <charset val="1"/>
    </font>
    <font>
      <sz val="11"/>
      <color rgb="FF111C2E"/>
      <name val="Aptos Narrow"/>
      <family val="0"/>
      <charset val="1"/>
    </font>
    <font>
      <b val="true"/>
      <sz val="12"/>
      <color rgb="FF13284A"/>
      <name val="Aptos Narrow"/>
      <family val="0"/>
      <charset val="1"/>
    </font>
    <font>
      <b val="true"/>
      <sz val="11"/>
      <color rgb="FFB42318"/>
      <name val="Aptos Narrow"/>
      <family val="0"/>
      <charset val="1"/>
    </font>
    <font>
      <i val="true"/>
      <sz val="10"/>
      <color rgb="FF5B6679"/>
      <name val="Aptos Narrow"/>
      <family val="0"/>
      <charset val="1"/>
    </font>
    <font>
      <b val="true"/>
      <sz val="10"/>
      <color rgb="FFB42318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111C2E"/>
      <name val="Aptos Narrow"/>
      <family val="0"/>
      <charset val="1"/>
    </font>
    <font>
      <b val="true"/>
      <sz val="11"/>
      <color rgb="FF111C2E"/>
      <name val="Aptos Narrow"/>
      <family val="0"/>
      <charset val="1"/>
    </font>
    <font>
      <b val="true"/>
      <sz val="10"/>
      <color rgb="FF111C2E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3284A"/>
        <bgColor rgb="FF111C2E"/>
      </patternFill>
    </fill>
    <fill>
      <patternFill patternType="solid">
        <fgColor rgb="FFFFF2A8"/>
        <bgColor rgb="FFFBE3C0"/>
      </patternFill>
    </fill>
    <fill>
      <patternFill patternType="solid">
        <fgColor rgb="FFFFFBE0"/>
        <bgColor rgb="FFFFFFFF"/>
      </patternFill>
    </fill>
    <fill>
      <patternFill patternType="solid">
        <fgColor rgb="FFDCE3EE"/>
        <bgColor rgb="FFC9CE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A1C12"/>
      </font>
      <fill>
        <patternFill>
          <bgColor rgb="FFF8C9C3"/>
        </patternFill>
      </fill>
    </dxf>
    <dxf>
      <fill>
        <patternFill>
          <bgColor rgb="FFFBE3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2318"/>
      <rgbColor rgb="FFFFFBE0"/>
      <rgbColor rgb="FFDCE3EE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3C0"/>
      <rgbColor rgb="FFFFF2A8"/>
      <rgbColor rgb="FF99CCFF"/>
      <rgbColor rgb="FFFF99CC"/>
      <rgbColor rgb="FFCC99FF"/>
      <rgbColor rgb="FFF8C9C3"/>
      <rgbColor rgb="FF3366FF"/>
      <rgbColor rgb="FF33CCCC"/>
      <rgbColor rgb="FF99CC00"/>
      <rgbColor rgb="FFFFCC00"/>
      <rgbColor rgb="FFFF9900"/>
      <rgbColor rgb="FFFF6600"/>
      <rgbColor rgb="FF5B6679"/>
      <rgbColor rgb="FF969696"/>
      <rgbColor rgb="FF13284A"/>
      <rgbColor rgb="FF339966"/>
      <rgbColor rgb="FF111C2E"/>
      <rgbColor rgb="FF333300"/>
      <rgbColor rgb="FF9A1C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62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3" t="s">
        <v>2</v>
      </c>
      <c r="H3" s="4" t="s">
        <v>3</v>
      </c>
      <c r="I3" s="5" t="n">
        <f aca="false">G17</f>
        <v>15738</v>
      </c>
    </row>
    <row r="4" customFormat="false" ht="15" hidden="false" customHeight="false" outlineLevel="0" collapsed="false">
      <c r="A4" s="2" t="s">
        <v>4</v>
      </c>
      <c r="C4" s="3" t="s">
        <v>5</v>
      </c>
      <c r="H4" s="4" t="s">
        <v>6</v>
      </c>
      <c r="I4" s="5" t="n">
        <f aca="false">I17</f>
        <v>0</v>
      </c>
    </row>
    <row r="5" customFormat="false" ht="15" hidden="false" customHeight="false" outlineLevel="0" collapsed="false">
      <c r="A5" s="2" t="s">
        <v>7</v>
      </c>
      <c r="C5" s="3" t="s">
        <v>8</v>
      </c>
      <c r="H5" s="4" t="s">
        <v>9</v>
      </c>
      <c r="I5" s="6" t="str">
        <f aca="false">IF(OR(I4=0,I3=0),"",I4/I3)</f>
        <v/>
      </c>
    </row>
    <row r="6" customFormat="false" ht="15" hidden="false" customHeight="false" outlineLevel="0" collapsed="false">
      <c r="A6" s="2" t="s">
        <v>10</v>
      </c>
      <c r="C6" s="3" t="s">
        <v>11</v>
      </c>
      <c r="H6" s="4" t="s">
        <v>12</v>
      </c>
      <c r="I6" s="7" t="str">
        <f aca="false">COUNT(H15:H16)&amp;" de 2"</f>
        <v>0 de 2</v>
      </c>
    </row>
    <row r="7" customFormat="false" ht="15" hidden="false" customHeight="false" outlineLevel="0" collapsed="false">
      <c r="A7" s="2" t="s">
        <v>13</v>
      </c>
      <c r="C7" s="3" t="s">
        <v>14</v>
      </c>
    </row>
    <row r="8" customFormat="false" ht="15" hidden="false" customHeight="false" outlineLevel="0" collapsed="false">
      <c r="A8" s="2" t="s">
        <v>15</v>
      </c>
      <c r="C8" s="3" t="s">
        <v>16</v>
      </c>
    </row>
    <row r="9" customFormat="false" ht="15" hidden="false" customHeight="false" outlineLevel="0" collapsed="false">
      <c r="A9" s="2" t="s">
        <v>17</v>
      </c>
      <c r="C9" s="8" t="s">
        <v>18</v>
      </c>
    </row>
    <row r="11" customFormat="false" ht="15" hidden="false" customHeight="false" outlineLevel="0" collapsed="false">
      <c r="A11" s="9" t="s">
        <v>19</v>
      </c>
    </row>
    <row r="12" customFormat="false" ht="15" hidden="false" customHeight="false" outlineLevel="0" collapsed="false">
      <c r="A12" s="10" t="s">
        <v>20</v>
      </c>
    </row>
    <row r="14" customFormat="false" ht="31.5" hidden="false" customHeight="true" outlineLevel="0" collapsed="false">
      <c r="A14" s="11" t="s">
        <v>21</v>
      </c>
      <c r="B14" s="11" t="s">
        <v>22</v>
      </c>
      <c r="C14" s="11" t="s">
        <v>23</v>
      </c>
      <c r="D14" s="11" t="s">
        <v>24</v>
      </c>
      <c r="E14" s="11" t="s">
        <v>25</v>
      </c>
      <c r="F14" s="11" t="s">
        <v>26</v>
      </c>
      <c r="G14" s="11" t="s">
        <v>27</v>
      </c>
      <c r="H14" s="11" t="s">
        <v>28</v>
      </c>
      <c r="I14" s="11" t="s">
        <v>29</v>
      </c>
      <c r="J14" s="11" t="s">
        <v>30</v>
      </c>
      <c r="K14" s="11" t="s">
        <v>31</v>
      </c>
    </row>
    <row r="15" customFormat="false" ht="129.75" hidden="false" customHeight="true" outlineLevel="0" collapsed="false">
      <c r="A15" s="12"/>
      <c r="B15" s="12" t="n">
        <v>1</v>
      </c>
      <c r="C15" s="13" t="s">
        <v>32</v>
      </c>
      <c r="D15" s="12" t="s">
        <v>33</v>
      </c>
      <c r="E15" s="14" t="n">
        <v>100</v>
      </c>
      <c r="F15" s="15" t="n">
        <v>68.8</v>
      </c>
      <c r="G15" s="15" t="n">
        <f aca="false">IF(F15="","",E15*F15)</f>
        <v>6880</v>
      </c>
      <c r="H15" s="16"/>
      <c r="I15" s="15" t="str">
        <f aca="false">IF(H15="","",E15*H15)</f>
        <v/>
      </c>
      <c r="J15" s="17" t="str">
        <f aca="false">IF(OR(H15="",F15=""),"",H15/F15)</f>
        <v/>
      </c>
      <c r="K15" s="18"/>
    </row>
    <row r="16" customFormat="false" ht="87.75" hidden="false" customHeight="true" outlineLevel="0" collapsed="false">
      <c r="A16" s="12"/>
      <c r="B16" s="12" t="n">
        <v>2</v>
      </c>
      <c r="C16" s="13" t="s">
        <v>34</v>
      </c>
      <c r="D16" s="12" t="s">
        <v>35</v>
      </c>
      <c r="E16" s="14" t="n">
        <v>200</v>
      </c>
      <c r="F16" s="15" t="n">
        <v>44.29</v>
      </c>
      <c r="G16" s="15" t="n">
        <f aca="false">IF(F16="","",E16*F16)</f>
        <v>8858</v>
      </c>
      <c r="H16" s="16"/>
      <c r="I16" s="15" t="str">
        <f aca="false">IF(H16="","",E16*H16)</f>
        <v/>
      </c>
      <c r="J16" s="17" t="str">
        <f aca="false">IF(OR(H16="",F16=""),"",H16/F16)</f>
        <v/>
      </c>
      <c r="K16" s="18"/>
    </row>
    <row r="17" customFormat="false" ht="15" hidden="false" customHeight="false" outlineLevel="0" collapsed="false">
      <c r="A17" s="19"/>
      <c r="B17" s="19"/>
      <c r="C17" s="20" t="s">
        <v>36</v>
      </c>
      <c r="D17" s="19"/>
      <c r="E17" s="19"/>
      <c r="F17" s="19"/>
      <c r="G17" s="21" t="n">
        <f aca="false">SUM(G15:G16)</f>
        <v>15738</v>
      </c>
      <c r="H17" s="19"/>
      <c r="I17" s="21" t="n">
        <f aca="false">SUM(I15:I16)</f>
        <v>0</v>
      </c>
      <c r="J17" s="22" t="str">
        <f aca="false">IF(OR(I17=0,G17=0),"",I17/G17)</f>
        <v/>
      </c>
      <c r="K17" s="19"/>
    </row>
  </sheetData>
  <conditionalFormatting sqref="J15:J17">
    <cfRule type="expression" priority="2" aboveAverage="0" equalAverage="0" bottom="0" percent="0" rank="0" text="" dxfId="0">
      <formula>AND(ISNUMBER(J15),J15&gt;=1)</formula>
    </cfRule>
    <cfRule type="expression" priority="3" aboveAverage="0" equalAverage="0" bottom="0" percent="0" rank="0" text="" dxfId="1">
      <formula>AND(ISNUMBER(J15),J15&gt;=0.9,J15&lt;1)</formula>
    </cfRule>
  </conditionalFormatting>
  <dataValidations count="1">
    <dataValidation allowBlank="true" error="Digite o valor unitário em reais, só números (ex.: 45,90)." errorStyle="stop" errorTitle="Valor inválido" operator="greaterThanOrEqual" showDropDown="false" showErrorMessage="false" showInputMessage="false" sqref="H15:H1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23" t="s">
        <v>37</v>
      </c>
      <c r="B1" s="24" t="s">
        <v>38</v>
      </c>
    </row>
    <row r="2" customFormat="false" ht="15" hidden="false" customHeight="false" outlineLevel="0" collapsed="false">
      <c r="A2" s="23" t="s">
        <v>39</v>
      </c>
      <c r="B2" s="24" t="s">
        <v>40</v>
      </c>
    </row>
    <row r="3" customFormat="false" ht="15" hidden="false" customHeight="false" outlineLevel="0" collapsed="false">
      <c r="A3" s="23" t="s">
        <v>41</v>
      </c>
      <c r="B3" s="24" t="s">
        <v>5</v>
      </c>
    </row>
    <row r="4" customFormat="false" ht="15" hidden="false" customHeight="false" outlineLevel="0" collapsed="false">
      <c r="A4" s="23" t="s">
        <v>42</v>
      </c>
      <c r="B4" s="24" t="s">
        <v>43</v>
      </c>
    </row>
    <row r="5" customFormat="false" ht="15" hidden="false" customHeight="false" outlineLevel="0" collapsed="false">
      <c r="A5" s="23" t="s">
        <v>44</v>
      </c>
      <c r="B5" s="24" t="s">
        <v>11</v>
      </c>
    </row>
    <row r="6" customFormat="false" ht="15" hidden="false" customHeight="false" outlineLevel="0" collapsed="false">
      <c r="A6" s="23" t="s">
        <v>45</v>
      </c>
      <c r="B6" s="24" t="s">
        <v>46</v>
      </c>
    </row>
    <row r="7" customFormat="false" ht="15" hidden="false" customHeight="false" outlineLevel="0" collapsed="false">
      <c r="A7" s="23" t="s">
        <v>47</v>
      </c>
      <c r="B7" s="24" t="s">
        <v>48</v>
      </c>
    </row>
    <row r="8" customFormat="false" ht="15" hidden="false" customHeight="false" outlineLevel="0" collapsed="false">
      <c r="A8" s="23" t="s">
        <v>49</v>
      </c>
      <c r="B8" s="2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2026-09-30T11:46:02Z</dcterms:created>
  <dc:creator>openpyxl</dc:creator>
  <dc:description/>
  <dc:language>en-US</dc:language>
  <cp:lastModifiedBy/>
  <dcterms:modified xsi:type="dcterms:W3CDTF">2026-09-30T11:46:02Z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