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ços" sheetId="1" state="visible" r:id="rId3"/>
    <sheet name="Controle" sheetId="2" state="hidden" r:id="rId4"/>
  </sheets>
  <definedNames>
    <definedName function="false" hidden="false" localSheetId="0" name="_xlnm.Print_Titles" vbProcedure="false">Preços!$14:$14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<sst xmlns="http://schemas.openxmlformats.org/spreadsheetml/2006/main" count="89" uniqueCount="72">
  <si>
    <t xml:space="preserve">TABELA NEGOCIAÇÃO PREGÃO - MENOR PREÇO LOTE</t>
  </si>
  <si>
    <t xml:space="preserve">Órgão</t>
  </si>
  <si>
    <t xml:space="preserve">Prefeitura Municipal de Guarulhos — Secretaria de Segurança Urbana — Guarda Civil Municipal</t>
  </si>
  <si>
    <t xml:space="preserve">Total de entrada</t>
  </si>
  <si>
    <t xml:space="preserve">Processo</t>
  </si>
  <si>
    <t xml:space="preserve">Pregão Eletrônico nº 90164/2026-SFIL (Compras.gov nº 110/2026) — Proc. Adm. 1125.2025/0009070-1</t>
  </si>
  <si>
    <t xml:space="preserve">Total mínimo</t>
  </si>
  <si>
    <t xml:space="preserve">Sessão</t>
  </si>
  <si>
    <t xml:space="preserve">quinta-feira, 08/10/2026 às 09:00 (Brasília)</t>
  </si>
  <si>
    <t xml:space="preserve">Mínimo ÷ entrada</t>
  </si>
  <si>
    <t xml:space="preserve">Portal</t>
  </si>
  <si>
    <t xml:space="preserve">Compras.gov.br — UASG 986477</t>
  </si>
  <si>
    <t xml:space="preserve">Itens preenchidos</t>
  </si>
  <si>
    <t xml:space="preserve">Critério</t>
  </si>
  <si>
    <t xml:space="preserve">Menor preço por grupo (Grupos 1 a 4, cotar todos os itens do grupo) e por item nos itens isolados 15 e 16 — disputa aberta e fechada</t>
  </si>
  <si>
    <t xml:space="preserve">Participação</t>
  </si>
  <si>
    <t xml:space="preserve">Ampla concorrência (Grupos 1–3 e itens 15–16) + Grupo 4 reservado ME/EPP</t>
  </si>
  <si>
    <t xml:space="preserve">Preencher até</t>
  </si>
  <si>
    <t xml:space="preserve">07/10/2026 (quarta-feira) às 17h</t>
  </si>
  <si>
    <t xml:space="preserve">Preencha só a coluna amarela VALOR MÍNIMO (preço unitário). Totais e percentuais se calculam sozinhos. Linha vermelha em MÍN. ÷ ENTRADA = mínimo acima do valor de entrada do edital.</t>
  </si>
  <si>
    <t xml:space="preserve">Terminou? Salve com o mesmo nome de arquivo e envie para o Thiago.</t>
  </si>
  <si>
    <t xml:space="preserve">LOTE</t>
  </si>
  <si>
    <t xml:space="preserve">Nº ITEM</t>
  </si>
  <si>
    <t xml:space="preserve">ITEM</t>
  </si>
  <si>
    <t xml:space="preserve">UNID.</t>
  </si>
  <si>
    <t xml:space="preserve">QTDE</t>
  </si>
  <si>
    <t xml:space="preserve">VALOR DE ENTRADA</t>
  </si>
  <si>
    <t xml:space="preserve">TOTAL ENTRADA</t>
  </si>
  <si>
    <t xml:space="preserve">VALOR MÍNIMO</t>
  </si>
  <si>
    <t xml:space="preserve">TOTAL MÍNIMO</t>
  </si>
  <si>
    <t xml:space="preserve">MÍN. ÷ ENTRADA</t>
  </si>
  <si>
    <t xml:space="preserve">OBSERVAÇÃO</t>
  </si>
  <si>
    <t xml:space="preserve">CONJUNTO CALÇA E COMBAT SHIRT – AZUL NOITE (CATMAT 601194). CALÇA OPERACIONAL PREMIUM UNISSEX em rip stop maquinetado (sarja) 48% algodão / 40% poliéster / 12% elastomultiéster, 235 g/m², UV 50+, azul marinho noite; cós autoajustável com elásticos e silicone interno; 2 bolsos frontais, 2 traseiros e 2 cargo laterais com prega, lapela e velcro, bolso porta-lanterna; reforço duplo nos joelhos e no gancho; barra com velcro e lapela reguladora; tam. 38 a 60. COMBAT SHIRT MANGA LONGA: gola, mangas e punhos no mesmo rip stop, corpo em malha 91% poliamida / 9% elastano 175 g/m² FPS 50+ DRY; zíper frontal 20 cm, gola alta com velcros p/ graduação, 2 bolsos nas mangas com zíper e velcro, platinas, velcro p/ tarjeta no peito; 3 patches emborrachados (bandeira de Guarulhos e brasão GCM com velcro nas mangas, brasão GCM termocolante no peito); tam. PP a EXGG. Laudos dos tecidos e emblemas exigidos. TR traz versão operacional (patches coloridos) e ROMU (patches cinza/preto).</t>
  </si>
  <si>
    <t xml:space="preserve">UN</t>
  </si>
  <si>
    <t xml:space="preserve">CONJUNTO CALÇA E COMBAT SHIRT – AMBIENTAL (CATMAT 601194). Mesma construção do item 1: calça operacional premium unissex e combat shirt manga longa em rip stop 48/40/12, 235 g/m², UV 50+, CAMUFLADO DIGITAL (verde, marrom e azul); corpo do combat shirt em malha 91% poliamida / 9% elastano 175 g/m² FPS 50+ DRY na cor VERDE MUSGO; 3 patches emborrachados verde/preto (bandeira de Guarulhos, brasão AMBIENTAL e brasão GCM); calça tam. 38 a 60, camisa PP a EXGG.</t>
  </si>
  <si>
    <t xml:space="preserve">GORRO COM PALA RIP STOP (CATMAT 611696) — cobertura tipo quepe/boné unissex em rip stop 48/40/12, 235 g/m², azul marinho noite; copa de 9 cm estruturada com forro gerci engomado, fita quadriculada preta e branca na lateral, 4 ilhoses, abertura traseira com regulagem por fivela, carneira com espuma, pala em PVC revestida no tecido; patch emborrachado colorido do brasão GCM (5,4 x 7,0 cm); contorno bordado vermelho em algumas classes; tam. P, M e G. TR traz variantes por classe/graduação (marinho e branca).</t>
  </si>
  <si>
    <t xml:space="preserve">BERMUDA OPERACIONAL PREMIUM UNISSEX, MARINHO (CICLISTA) (CATMAT 638029) em rip stop 48/40/12, 235 g/m², UV 50+, azul marinho noite; mesma construção da calça premium: cós autoajustável com elásticos, 2 bolsos frontais, 2 traseiros com lapela e velcro, porta-lanterna, 2 bolsos laterais da perna com prega, lapela e velcro, reforço no gancho; barra com bainha de 2 cm.</t>
  </si>
  <si>
    <t xml:space="preserve">CAMISA PELUCIADA (CATMAT 463848) = CAMISA SEGUNDA PELE MANGA LONGA UNISSEX, PRETA, em malha suplex felpado 90% poliéster / 10% elastano, 280 g/m²; gola redonda, costuras overlock e galoneira; patch emborrachado termocolante colorido do brasão GCM no peito esquerdo; tam. XP a EXGG.</t>
  </si>
  <si>
    <t xml:space="preserve">AGASALHO TÁTICO EM TACTEL (CATMAT 445802) — conjunto jaqueta + calça, azul marinho noite. Jaqueta raglan em tactel 100% poliéster com forro furadinho 100% poliamida, gola alta, zíper destacável, punhos com elástico, 2 bolsos laterais, filete colorido nas mangas conforme graduação, bordados em alta definição (bandeira de Guarulhos, brasão GCM na manga e no peito), inscrição "GCM" refletiva prata nas costas. Calça em tactel com filete lateral, cós com elástico e cordão, 2 bolsos laterais. Tam. P a ESPECIAL.</t>
  </si>
  <si>
    <t xml:space="preserve">CAMISA GOLA POLO MANGA CURTA UNISSEX, MARINHO (CATMAT 634395), em malha 91% poliamida / 9% elastano, 175 g/m², FPS 50+ e DRY permanentes, azul marinho noite; peitilho com 3 botões; aplicações termotransferíveis em branco: "SECRETARIA DE SEGURANÇA URBANA" no peito direito, brasão + "CIDADE DE GUARULHOS" no peito esquerdo e brasão + textos nas costas; tam. XP a EXGG.</t>
  </si>
  <si>
    <t xml:space="preserve">Total do lote 1</t>
  </si>
  <si>
    <t xml:space="preserve">BOTA CANO LONGO (CATMAT 299873) — coturno tático em couro bovino preto 2 mm hidrofugado + lona cordura, fechamento por cadarço e zíper lateral, cano de 22–24 cm (nº 40) acolchoado, 18 ilhoses, biqueira e contraforte termoplásticos, palmilha antiperfuro, solado bicomponente; laudos exigidos.</t>
  </si>
  <si>
    <t xml:space="preserve">TÊNIS TÁTICO PARA CICLISTA (Ronda Bike) (CATMAT 618661) — couro bovino hidrofugado 1,8 mm + nylon cordura, preto, forro em poliamida, solado tri-componente (borracha/poliéster/TPU), biqueira termoplástica, palmilha de montagem em couro.</t>
  </si>
  <si>
    <t xml:space="preserve">Total do lote 2</t>
  </si>
  <si>
    <t xml:space="preserve">CAPACETE PARA MOTOCICLISTA (CATMAT 601859) — casco em ABS branco, queixeira escamoteável/removível, viseira em policarbonato 2 mm antirrisco com troca rápida, fecho micrométrico, anel antifurto, forro removível, ventilação, defletor antiembaçante, spoiler; grafismo GCM (bandeira, brasões, escrita GCM, faixa xadrez); tam. 56 a 62.</t>
  </si>
  <si>
    <t xml:space="preserve">LUVA PARA MOTOCICLISTA (CATMAT 603839) — luva tática meio dedo, mangote curto, em poliéster com grip na palma, proteções em borracha e em polipropileno injetado nos dedos e palma, fechamento no punho com elástico e velcro; tam. PP a XG.</t>
  </si>
  <si>
    <t xml:space="preserve">CAPACETE PARA CICLISTA (Ronda Bike) (CATMAT 623276) — casco em PVC azul noite com estrutura interna de PU de alta densidade, 16 aberturas de ventilação, ajuste de nuca por catraca, jugular azul noite com engate rápido, refletivo prata traseiro, jogo extra de espumas; tamanho único adulto.</t>
  </si>
  <si>
    <t xml:space="preserve">Total do lote 3</t>
  </si>
  <si>
    <t xml:space="preserve">KIT JOELHEIRA MOTOCICLISTA (CATMAT 603603) — protetor articulado de joelho e tíbia em polipropileno/policarbonato injetado, complexo tecido-espuma-tecido com fitas de poliéster, tiras ajustáveis, estofo removível, ferragens em latão com tratamento Rilsan; preto.</t>
  </si>
  <si>
    <t xml:space="preserve">BASTÃO TÁTICO RETRÁTIL (CATMAT 602609) — expansível/telescópico, hastes em aço (inox ou carbono 4140), empunhadura emborrachada antiderrapante, ponta em aço endurecido; 24 cm fechado / 60 cm aberto; 450 a 580 g.</t>
  </si>
  <si>
    <t xml:space="preserve">Total do lote 4</t>
  </si>
  <si>
    <t xml:space="preserve">Item 15</t>
  </si>
  <si>
    <t xml:space="preserve">CAPA DE COLETE TÁTICO (CATMAT 605162) — capa modular em cordura 1000D original hidrorrepelente e antimicrobiana, cores azul marinho noite, preto e verde oliva; 16 velcros e fitas modulares na frente, velcros nas costas p/ patches, fecho engate rápido, porta-placas com zíper, ombreiras e barrigueira reguláveis com elástico, forro mesh 3D, alça de arraste, porta-ID; patch emborrachado "GUARDA CIVIL MUNICIPAL" nas costas; tam. PP a EXG. O TR cita "painéis flexíveis 3A padrão SENASP / NIJ 0101.04" — confirmar se os painéis balísticos estão incluídos.</t>
  </si>
  <si>
    <t xml:space="preserve">Total — Item 15</t>
  </si>
  <si>
    <t xml:space="preserve">Item 16</t>
  </si>
  <si>
    <t xml:space="preserve">JAQUETA MOTOCICLISTA (CATMAT 467635) em cordura azul noite e preta: forro fixo, membrana impermeável removível (tipo Reisa) e manta térmica removível, vivos e faixas refletivas prata (mín. 500 cd/lx/m²), gola padre com neoprene, sistema MOLLE (6 + 6 fitas), protetores CE (EN 1621-1 ombros/cotovelos, EN 1621-2 costas), 2 bolsos faca impermeáveis, bordado GCM no ombro; tam. M a EXG.</t>
  </si>
  <si>
    <t xml:space="preserve">Total — Item 16</t>
  </si>
  <si>
    <t xml:space="preserve">TOTAL GERAL</t>
  </si>
  <si>
    <t xml:space="preserve">id</t>
  </si>
  <si>
    <t xml:space="preserve">2026-10-08-guarulhos-gcm</t>
  </si>
  <si>
    <t xml:space="preserve">orgao</t>
  </si>
  <si>
    <t xml:space="preserve">Prefeitura Municipal de Guarulhos</t>
  </si>
  <si>
    <t xml:space="preserve">processo</t>
  </si>
  <si>
    <t xml:space="preserve">sessao</t>
  </si>
  <si>
    <t xml:space="preserve">2026-10-08T09:00</t>
  </si>
  <si>
    <t xml:space="preserve">portal</t>
  </si>
  <si>
    <t xml:space="preserve">criterio</t>
  </si>
  <si>
    <t xml:space="preserve">lote</t>
  </si>
  <si>
    <t xml:space="preserve">gerado_em</t>
  </si>
  <si>
    <t xml:space="preserve">2026-09-30 11:45</t>
  </si>
  <si>
    <t xml:space="preserve">fonte</t>
  </si>
  <si>
    <t xml:space="preserve">Edital PE 90164/2026-SFIL — Anexo II-A (total estimado R$ 2.755.522,65; data-base 09/2026)</t>
  </si>
</sst>
</file>

<file path=xl/styles.xml><?xml version="1.0" encoding="utf-8"?>
<styleSheet xmlns="http://schemas.openxmlformats.org/spreadsheetml/2006/main">
  <numFmts count="5">
    <numFmt numFmtId="164" formatCode="General"/>
    <numFmt numFmtId="165" formatCode="&quot;R$ &quot;#,##0.00;&quot;-R$ &quot;#,##0.00;\-"/>
    <numFmt numFmtId="166" formatCode="0%;\-0%;\-"/>
    <numFmt numFmtId="167" formatCode="@"/>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20"/>
      <color rgb="FF13284A"/>
      <name val="Aptos Narrow"/>
      <family val="0"/>
      <charset val="1"/>
    </font>
    <font>
      <b val="true"/>
      <sz val="10"/>
      <color rgb="FF5B6679"/>
      <name val="Aptos Narrow"/>
      <family val="0"/>
      <charset val="1"/>
    </font>
    <font>
      <sz val="11"/>
      <color rgb="FF111C2E"/>
      <name val="Aptos Narrow"/>
      <family val="0"/>
      <charset val="1"/>
    </font>
    <font>
      <b val="true"/>
      <sz val="12"/>
      <color rgb="FF13284A"/>
      <name val="Aptos Narrow"/>
      <family val="0"/>
      <charset val="1"/>
    </font>
    <font>
      <b val="true"/>
      <sz val="11"/>
      <color rgb="FFB42318"/>
      <name val="Aptos Narrow"/>
      <family val="0"/>
      <charset val="1"/>
    </font>
    <font>
      <i val="true"/>
      <sz val="10"/>
      <color rgb="FF5B6679"/>
      <name val="Aptos Narrow"/>
      <family val="0"/>
      <charset val="1"/>
    </font>
    <font>
      <b val="true"/>
      <sz val="10"/>
      <color rgb="FFB42318"/>
      <name val="Aptos Narrow"/>
      <family val="0"/>
      <charset val="1"/>
    </font>
    <font>
      <b val="true"/>
      <sz val="10"/>
      <color rgb="FFFFFFFF"/>
      <name val="Aptos Narrow"/>
      <family val="0"/>
      <charset val="1"/>
    </font>
    <font>
      <sz val="10"/>
      <color rgb="FF111C2E"/>
      <name val="Aptos Narrow"/>
      <family val="0"/>
      <charset val="1"/>
    </font>
    <font>
      <b val="true"/>
      <sz val="11"/>
      <color rgb="FF111C2E"/>
      <name val="Aptos Narrow"/>
      <family val="0"/>
      <charset val="1"/>
    </font>
    <font>
      <b val="true"/>
      <sz val="10"/>
      <color rgb="FF111C2E"/>
      <name val="Aptos Narrow"/>
      <family val="0"/>
      <charset val="1"/>
    </font>
  </fonts>
  <fills count="7">
    <fill>
      <patternFill patternType="none"/>
    </fill>
    <fill>
      <patternFill patternType="gray125"/>
    </fill>
    <fill>
      <patternFill patternType="solid">
        <fgColor rgb="FF13284A"/>
        <bgColor rgb="FF111C2E"/>
      </patternFill>
    </fill>
    <fill>
      <patternFill patternType="solid">
        <fgColor rgb="FFFFF2A8"/>
        <bgColor rgb="FFFBE3C0"/>
      </patternFill>
    </fill>
    <fill>
      <patternFill patternType="solid">
        <fgColor rgb="FFFFFBE0"/>
        <bgColor rgb="FFFFFFFF"/>
      </patternFill>
    </fill>
    <fill>
      <patternFill patternType="solid">
        <fgColor rgb="FFEEF1F5"/>
        <bgColor rgb="FFFFFBE0"/>
      </patternFill>
    </fill>
    <fill>
      <patternFill patternType="solid">
        <fgColor rgb="FFDCE3EE"/>
        <bgColor rgb="FFEEF1F5"/>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8"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5" fontId="6" fillId="3"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right"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right" vertical="bottom" textRotation="0" wrapText="false" indent="0" shrinkToFit="false"/>
      <protection locked="true" hidden="false"/>
    </xf>
    <xf numFmtId="165" fontId="13" fillId="6" borderId="1" xfId="0" applyFont="true" applyBorder="true" applyAlignment="false" applyProtection="false">
      <alignment horizontal="general" vertical="bottom" textRotation="0" wrapText="false" indent="0" shrinkToFit="false"/>
      <protection locked="true" hidden="false"/>
    </xf>
    <xf numFmtId="166" fontId="13" fillId="6"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9A1C12"/>
      </font>
      <fill>
        <patternFill>
          <bgColor rgb="FFF8C9C3"/>
        </patternFill>
      </fill>
    </dxf>
    <dxf>
      <fill>
        <patternFill>
          <bgColor rgb="FFFBE3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B42318"/>
      <rgbColor rgb="FFFFFBE0"/>
      <rgbColor rgb="FFEEF1F5"/>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DCE3EE"/>
      <rgbColor rgb="FFFBE3C0"/>
      <rgbColor rgb="FFFFF2A8"/>
      <rgbColor rgb="FF99CCFF"/>
      <rgbColor rgb="FFFF99CC"/>
      <rgbColor rgb="FFCC99FF"/>
      <rgbColor rgb="FFF8C9C3"/>
      <rgbColor rgb="FF3366FF"/>
      <rgbColor rgb="FF33CCCC"/>
      <rgbColor rgb="FF99CC00"/>
      <rgbColor rgb="FFFFCC00"/>
      <rgbColor rgb="FFFF9900"/>
      <rgbColor rgb="FFFF6600"/>
      <rgbColor rgb="FF5B6679"/>
      <rgbColor rgb="FF969696"/>
      <rgbColor rgb="FF13284A"/>
      <rgbColor rgb="FF339966"/>
      <rgbColor rgb="FF111C2E"/>
      <rgbColor rgb="FF333300"/>
      <rgbColor rgb="FF9A1C1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4" topLeftCell="D15" activePane="bottomRight" state="frozen"/>
      <selection pane="topLeft" activeCell="A1" activeCellId="0" sqref="A1"/>
      <selection pane="topRight" activeCell="D1" activeCellId="0" sqref="D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62"/>
    <col collapsed="false" customWidth="true" hidden="false" outlineLevel="0" max="4" min="4" style="0" width="7"/>
    <col collapsed="false" customWidth="true" hidden="false" outlineLevel="0" max="5" min="5" style="0" width="8"/>
    <col collapsed="false" customWidth="true" hidden="false" outlineLevel="0" max="6" min="6" style="0" width="14"/>
    <col collapsed="false" customWidth="true" hidden="false" outlineLevel="0" max="7" min="7" style="0" width="19"/>
    <col collapsed="false" customWidth="true" hidden="false" outlineLevel="0" max="8" min="8" style="0" width="14"/>
    <col collapsed="false" customWidth="true" hidden="false" outlineLevel="0" max="9" min="9" style="0" width="19"/>
    <col collapsed="false" customWidth="true" hidden="false" outlineLevel="0" max="10" min="10" style="0" width="11"/>
    <col collapsed="false" customWidth="true" hidden="false" outlineLevel="0" max="11" min="11" style="0" width="34"/>
  </cols>
  <sheetData>
    <row r="1" customFormat="false" ht="30" hidden="false" customHeight="true" outlineLevel="0" collapsed="false">
      <c r="A1" s="1" t="s">
        <v>0</v>
      </c>
    </row>
    <row r="3" customFormat="false" ht="15" hidden="false" customHeight="false" outlineLevel="0" collapsed="false">
      <c r="A3" s="2" t="s">
        <v>1</v>
      </c>
      <c r="C3" s="3" t="s">
        <v>2</v>
      </c>
      <c r="H3" s="4" t="s">
        <v>3</v>
      </c>
      <c r="I3" s="5" t="n">
        <f aca="false">G37</f>
        <v>2755522.65</v>
      </c>
    </row>
    <row r="4" customFormat="false" ht="15" hidden="false" customHeight="false" outlineLevel="0" collapsed="false">
      <c r="A4" s="2" t="s">
        <v>4</v>
      </c>
      <c r="C4" s="3" t="s">
        <v>5</v>
      </c>
      <c r="H4" s="4" t="s">
        <v>6</v>
      </c>
      <c r="I4" s="5" t="n">
        <f aca="false">I37</f>
        <v>0</v>
      </c>
    </row>
    <row r="5" customFormat="false" ht="15" hidden="false" customHeight="false" outlineLevel="0" collapsed="false">
      <c r="A5" s="2" t="s">
        <v>7</v>
      </c>
      <c r="C5" s="3" t="s">
        <v>8</v>
      </c>
      <c r="H5" s="4" t="s">
        <v>9</v>
      </c>
      <c r="I5" s="6" t="str">
        <f aca="false">IF(OR(I4=0,I3=0),"",I4/I3)</f>
        <v/>
      </c>
    </row>
    <row r="6" customFormat="false" ht="15" hidden="false" customHeight="false" outlineLevel="0" collapsed="false">
      <c r="A6" s="2" t="s">
        <v>10</v>
      </c>
      <c r="C6" s="3" t="s">
        <v>11</v>
      </c>
      <c r="H6" s="4" t="s">
        <v>12</v>
      </c>
      <c r="I6" s="7" t="str">
        <f aca="false">COUNT(H15,H16,H17,H18,H19,H20,H21,H23,H24,H26,H27,H28,H30,H31,H33,H35)&amp;" de 16"</f>
        <v>0 de 16</v>
      </c>
    </row>
    <row r="7" customFormat="false" ht="15" hidden="false" customHeight="false" outlineLevel="0" collapsed="false">
      <c r="A7" s="2" t="s">
        <v>13</v>
      </c>
      <c r="C7" s="3" t="s">
        <v>14</v>
      </c>
    </row>
    <row r="8" customFormat="false" ht="15" hidden="false" customHeight="false" outlineLevel="0" collapsed="false">
      <c r="A8" s="2" t="s">
        <v>15</v>
      </c>
      <c r="C8" s="3" t="s">
        <v>16</v>
      </c>
    </row>
    <row r="9" customFormat="false" ht="15" hidden="false" customHeight="false" outlineLevel="0" collapsed="false">
      <c r="A9" s="2" t="s">
        <v>17</v>
      </c>
      <c r="C9" s="8" t="s">
        <v>18</v>
      </c>
    </row>
    <row r="11" customFormat="false" ht="15" hidden="false" customHeight="false" outlineLevel="0" collapsed="false">
      <c r="A11" s="9" t="s">
        <v>19</v>
      </c>
    </row>
    <row r="12" customFormat="false" ht="15" hidden="false" customHeight="false" outlineLevel="0" collapsed="false">
      <c r="A12" s="10" t="s">
        <v>20</v>
      </c>
    </row>
    <row r="14" customFormat="false" ht="31.5" hidden="false" customHeight="true" outlineLevel="0" collapsed="false">
      <c r="A14" s="11" t="s">
        <v>21</v>
      </c>
      <c r="B14" s="11" t="s">
        <v>22</v>
      </c>
      <c r="C14" s="11" t="s">
        <v>23</v>
      </c>
      <c r="D14" s="11" t="s">
        <v>24</v>
      </c>
      <c r="E14" s="11" t="s">
        <v>25</v>
      </c>
      <c r="F14" s="11" t="s">
        <v>26</v>
      </c>
      <c r="G14" s="11" t="s">
        <v>27</v>
      </c>
      <c r="H14" s="11" t="s">
        <v>28</v>
      </c>
      <c r="I14" s="11" t="s">
        <v>29</v>
      </c>
      <c r="J14" s="11" t="s">
        <v>30</v>
      </c>
      <c r="K14" s="11" t="s">
        <v>31</v>
      </c>
    </row>
    <row r="15" customFormat="false" ht="199.5" hidden="false" customHeight="true" outlineLevel="0" collapsed="false">
      <c r="A15" s="12" t="n">
        <v>1</v>
      </c>
      <c r="B15" s="12" t="n">
        <v>1</v>
      </c>
      <c r="C15" s="13" t="s">
        <v>32</v>
      </c>
      <c r="D15" s="12" t="s">
        <v>33</v>
      </c>
      <c r="E15" s="14" t="n">
        <v>1850</v>
      </c>
      <c r="F15" s="15" t="n">
        <v>490.33</v>
      </c>
      <c r="G15" s="15" t="n">
        <f aca="false">IF(F15="","",E15*F15)</f>
        <v>907110.5</v>
      </c>
      <c r="H15" s="16"/>
      <c r="I15" s="15" t="str">
        <f aca="false">IF(H15="","",E15*H15)</f>
        <v/>
      </c>
      <c r="J15" s="17" t="str">
        <f aca="false">IF(OR(H15="",F15=""),"",H15/F15)</f>
        <v/>
      </c>
      <c r="K15" s="18"/>
    </row>
    <row r="16" customFormat="false" ht="115.5" hidden="false" customHeight="true" outlineLevel="0" collapsed="false">
      <c r="A16" s="12" t="n">
        <v>1</v>
      </c>
      <c r="B16" s="12" t="n">
        <v>2</v>
      </c>
      <c r="C16" s="13" t="s">
        <v>34</v>
      </c>
      <c r="D16" s="12" t="s">
        <v>33</v>
      </c>
      <c r="E16" s="14" t="n">
        <v>150</v>
      </c>
      <c r="F16" s="15" t="n">
        <v>490.33</v>
      </c>
      <c r="G16" s="15" t="n">
        <f aca="false">IF(F16="","",E16*F16)</f>
        <v>73549.5</v>
      </c>
      <c r="H16" s="16"/>
      <c r="I16" s="15" t="str">
        <f aca="false">IF(H16="","",E16*H16)</f>
        <v/>
      </c>
      <c r="J16" s="17" t="str">
        <f aca="false">IF(OR(H16="",F16=""),"",H16/F16)</f>
        <v/>
      </c>
      <c r="K16" s="18"/>
    </row>
    <row r="17" customFormat="false" ht="129.75" hidden="false" customHeight="true" outlineLevel="0" collapsed="false">
      <c r="A17" s="12" t="n">
        <v>1</v>
      </c>
      <c r="B17" s="12" t="n">
        <v>3</v>
      </c>
      <c r="C17" s="13" t="s">
        <v>35</v>
      </c>
      <c r="D17" s="12" t="s">
        <v>33</v>
      </c>
      <c r="E17" s="14" t="n">
        <v>1200</v>
      </c>
      <c r="F17" s="15" t="n">
        <v>85.08</v>
      </c>
      <c r="G17" s="15" t="n">
        <f aca="false">IF(F17="","",E17*F17)</f>
        <v>102096</v>
      </c>
      <c r="H17" s="16"/>
      <c r="I17" s="15" t="str">
        <f aca="false">IF(H17="","",E17*H17)</f>
        <v/>
      </c>
      <c r="J17" s="17" t="str">
        <f aca="false">IF(OR(H17="",F17=""),"",H17/F17)</f>
        <v/>
      </c>
      <c r="K17" s="18"/>
    </row>
    <row r="18" customFormat="false" ht="102" hidden="false" customHeight="true" outlineLevel="0" collapsed="false">
      <c r="A18" s="12" t="n">
        <v>1</v>
      </c>
      <c r="B18" s="12" t="n">
        <v>4</v>
      </c>
      <c r="C18" s="13" t="s">
        <v>36</v>
      </c>
      <c r="D18" s="12" t="s">
        <v>33</v>
      </c>
      <c r="E18" s="14" t="n">
        <v>30</v>
      </c>
      <c r="F18" s="15" t="n">
        <v>149.67</v>
      </c>
      <c r="G18" s="15" t="n">
        <f aca="false">IF(F18="","",E18*F18)</f>
        <v>4490.1</v>
      </c>
      <c r="H18" s="16"/>
      <c r="I18" s="15" t="str">
        <f aca="false">IF(H18="","",E18*H18)</f>
        <v/>
      </c>
      <c r="J18" s="17" t="str">
        <f aca="false">IF(OR(H18="",F18=""),"",H18/F18)</f>
        <v/>
      </c>
      <c r="K18" s="18"/>
    </row>
    <row r="19" customFormat="false" ht="73.5" hidden="false" customHeight="true" outlineLevel="0" collapsed="false">
      <c r="A19" s="12" t="n">
        <v>1</v>
      </c>
      <c r="B19" s="12" t="n">
        <v>5</v>
      </c>
      <c r="C19" s="13" t="s">
        <v>37</v>
      </c>
      <c r="D19" s="12" t="s">
        <v>33</v>
      </c>
      <c r="E19" s="14" t="n">
        <v>1200</v>
      </c>
      <c r="F19" s="15" t="n">
        <v>134.67</v>
      </c>
      <c r="G19" s="15" t="n">
        <f aca="false">IF(F19="","",E19*F19)</f>
        <v>161604</v>
      </c>
      <c r="H19" s="16"/>
      <c r="I19" s="15" t="str">
        <f aca="false">IF(H19="","",E19*H19)</f>
        <v/>
      </c>
      <c r="J19" s="17" t="str">
        <f aca="false">IF(OR(H19="",F19=""),"",H19/F19)</f>
        <v/>
      </c>
      <c r="K19" s="18"/>
    </row>
    <row r="20" customFormat="false" ht="129.75" hidden="false" customHeight="true" outlineLevel="0" collapsed="false">
      <c r="A20" s="12" t="n">
        <v>1</v>
      </c>
      <c r="B20" s="12" t="n">
        <v>6</v>
      </c>
      <c r="C20" s="13" t="s">
        <v>38</v>
      </c>
      <c r="D20" s="12" t="s">
        <v>33</v>
      </c>
      <c r="E20" s="14" t="n">
        <v>10</v>
      </c>
      <c r="F20" s="15" t="n">
        <v>269.33</v>
      </c>
      <c r="G20" s="15" t="n">
        <f aca="false">IF(F20="","",E20*F20)</f>
        <v>2693.3</v>
      </c>
      <c r="H20" s="16"/>
      <c r="I20" s="15" t="str">
        <f aca="false">IF(H20="","",E20*H20)</f>
        <v/>
      </c>
      <c r="J20" s="17" t="str">
        <f aca="false">IF(OR(H20="",F20=""),"",H20/F20)</f>
        <v/>
      </c>
      <c r="K20" s="18"/>
    </row>
    <row r="21" customFormat="false" ht="102" hidden="false" customHeight="true" outlineLevel="0" collapsed="false">
      <c r="A21" s="12" t="n">
        <v>1</v>
      </c>
      <c r="B21" s="12" t="n">
        <v>7</v>
      </c>
      <c r="C21" s="13" t="s">
        <v>39</v>
      </c>
      <c r="D21" s="12" t="s">
        <v>33</v>
      </c>
      <c r="E21" s="14" t="n">
        <v>300</v>
      </c>
      <c r="F21" s="15" t="n">
        <v>126.33</v>
      </c>
      <c r="G21" s="15" t="n">
        <f aca="false">IF(F21="","",E21*F21)</f>
        <v>37899</v>
      </c>
      <c r="H21" s="16"/>
      <c r="I21" s="15" t="str">
        <f aca="false">IF(H21="","",E21*H21)</f>
        <v/>
      </c>
      <c r="J21" s="17" t="str">
        <f aca="false">IF(OR(H21="",F21=""),"",H21/F21)</f>
        <v/>
      </c>
      <c r="K21" s="18"/>
    </row>
    <row r="22" customFormat="false" ht="15" hidden="false" customHeight="false" outlineLevel="0" collapsed="false">
      <c r="A22" s="19"/>
      <c r="B22" s="19"/>
      <c r="C22" s="20" t="s">
        <v>40</v>
      </c>
      <c r="D22" s="19"/>
      <c r="E22" s="19"/>
      <c r="F22" s="19"/>
      <c r="G22" s="21" t="n">
        <f aca="false">SUM(G15:G21)</f>
        <v>1289442.4</v>
      </c>
      <c r="H22" s="19"/>
      <c r="I22" s="21" t="n">
        <f aca="false">SUM(I15:I21)</f>
        <v>0</v>
      </c>
      <c r="J22" s="22" t="str">
        <f aca="false">IF(OR(I22=0,G22=0),"",I22/G22)</f>
        <v/>
      </c>
      <c r="K22" s="19"/>
    </row>
    <row r="23" customFormat="false" ht="87.75" hidden="false" customHeight="true" outlineLevel="0" collapsed="false">
      <c r="A23" s="12" t="n">
        <v>2</v>
      </c>
      <c r="B23" s="12" t="n">
        <v>8</v>
      </c>
      <c r="C23" s="13" t="s">
        <v>41</v>
      </c>
      <c r="D23" s="12" t="s">
        <v>33</v>
      </c>
      <c r="E23" s="14" t="n">
        <v>1200</v>
      </c>
      <c r="F23" s="15" t="n">
        <v>486.08</v>
      </c>
      <c r="G23" s="15" t="n">
        <f aca="false">IF(F23="","",E23*F23)</f>
        <v>583296</v>
      </c>
      <c r="H23" s="16"/>
      <c r="I23" s="15" t="str">
        <f aca="false">IF(H23="","",E23*H23)</f>
        <v/>
      </c>
      <c r="J23" s="17" t="str">
        <f aca="false">IF(OR(H23="",F23=""),"",H23/F23)</f>
        <v/>
      </c>
      <c r="K23" s="18"/>
    </row>
    <row r="24" customFormat="false" ht="73.5" hidden="false" customHeight="true" outlineLevel="0" collapsed="false">
      <c r="A24" s="12" t="n">
        <v>2</v>
      </c>
      <c r="B24" s="12" t="n">
        <v>9</v>
      </c>
      <c r="C24" s="13" t="s">
        <v>42</v>
      </c>
      <c r="D24" s="12" t="s">
        <v>33</v>
      </c>
      <c r="E24" s="14" t="n">
        <v>20</v>
      </c>
      <c r="F24" s="15" t="n">
        <v>289.33</v>
      </c>
      <c r="G24" s="15" t="n">
        <f aca="false">IF(F24="","",E24*F24)</f>
        <v>5786.6</v>
      </c>
      <c r="H24" s="16"/>
      <c r="I24" s="15" t="str">
        <f aca="false">IF(H24="","",E24*H24)</f>
        <v/>
      </c>
      <c r="J24" s="17" t="str">
        <f aca="false">IF(OR(H24="",F24=""),"",H24/F24)</f>
        <v/>
      </c>
      <c r="K24" s="18"/>
    </row>
    <row r="25" customFormat="false" ht="15" hidden="false" customHeight="false" outlineLevel="0" collapsed="false">
      <c r="A25" s="19"/>
      <c r="B25" s="19"/>
      <c r="C25" s="20" t="s">
        <v>43</v>
      </c>
      <c r="D25" s="19"/>
      <c r="E25" s="19"/>
      <c r="F25" s="19"/>
      <c r="G25" s="21" t="n">
        <f aca="false">SUM(G23:G24)</f>
        <v>589082.6</v>
      </c>
      <c r="H25" s="19"/>
      <c r="I25" s="21" t="n">
        <f aca="false">SUM(I23:I24)</f>
        <v>0</v>
      </c>
      <c r="J25" s="22" t="str">
        <f aca="false">IF(OR(I25=0,G25=0),"",I25/G25)</f>
        <v/>
      </c>
      <c r="K25" s="19"/>
    </row>
    <row r="26" customFormat="false" ht="87.75" hidden="false" customHeight="true" outlineLevel="0" collapsed="false">
      <c r="A26" s="12" t="n">
        <v>3</v>
      </c>
      <c r="B26" s="12" t="n">
        <v>10</v>
      </c>
      <c r="C26" s="13" t="s">
        <v>44</v>
      </c>
      <c r="D26" s="12" t="s">
        <v>33</v>
      </c>
      <c r="E26" s="14" t="n">
        <v>20</v>
      </c>
      <c r="F26" s="15" t="n">
        <v>452.22</v>
      </c>
      <c r="G26" s="15" t="n">
        <f aca="false">IF(F26="","",E26*F26)</f>
        <v>9044.4</v>
      </c>
      <c r="H26" s="16"/>
      <c r="I26" s="15" t="str">
        <f aca="false">IF(H26="","",E26*H26)</f>
        <v/>
      </c>
      <c r="J26" s="17" t="str">
        <f aca="false">IF(OR(H26="",F26=""),"",H26/F26)</f>
        <v/>
      </c>
      <c r="K26" s="18"/>
    </row>
    <row r="27" customFormat="false" ht="73.5" hidden="false" customHeight="true" outlineLevel="0" collapsed="false">
      <c r="A27" s="12" t="n">
        <v>3</v>
      </c>
      <c r="B27" s="12" t="n">
        <v>11</v>
      </c>
      <c r="C27" s="13" t="s">
        <v>45</v>
      </c>
      <c r="D27" s="12" t="s">
        <v>33</v>
      </c>
      <c r="E27" s="14" t="n">
        <v>50</v>
      </c>
      <c r="F27" s="15" t="n">
        <v>86.47</v>
      </c>
      <c r="G27" s="15" t="n">
        <f aca="false">IF(F27="","",E27*F27)</f>
        <v>4323.5</v>
      </c>
      <c r="H27" s="16"/>
      <c r="I27" s="15" t="str">
        <f aca="false">IF(H27="","",E27*H27)</f>
        <v/>
      </c>
      <c r="J27" s="17" t="str">
        <f aca="false">IF(OR(H27="",F27=""),"",H27/F27)</f>
        <v/>
      </c>
      <c r="K27" s="18"/>
    </row>
    <row r="28" customFormat="false" ht="73.5" hidden="false" customHeight="true" outlineLevel="0" collapsed="false">
      <c r="A28" s="12" t="n">
        <v>3</v>
      </c>
      <c r="B28" s="12" t="n">
        <v>12</v>
      </c>
      <c r="C28" s="13" t="s">
        <v>46</v>
      </c>
      <c r="D28" s="12" t="s">
        <v>33</v>
      </c>
      <c r="E28" s="14" t="n">
        <v>15</v>
      </c>
      <c r="F28" s="15" t="n">
        <v>132.17</v>
      </c>
      <c r="G28" s="15" t="n">
        <f aca="false">IF(F28="","",E28*F28)</f>
        <v>1982.55</v>
      </c>
      <c r="H28" s="16"/>
      <c r="I28" s="15" t="str">
        <f aca="false">IF(H28="","",E28*H28)</f>
        <v/>
      </c>
      <c r="J28" s="17" t="str">
        <f aca="false">IF(OR(H28="",F28=""),"",H28/F28)</f>
        <v/>
      </c>
      <c r="K28" s="18"/>
    </row>
    <row r="29" customFormat="false" ht="15" hidden="false" customHeight="false" outlineLevel="0" collapsed="false">
      <c r="A29" s="19"/>
      <c r="B29" s="19"/>
      <c r="C29" s="20" t="s">
        <v>47</v>
      </c>
      <c r="D29" s="19"/>
      <c r="E29" s="19"/>
      <c r="F29" s="19"/>
      <c r="G29" s="21" t="n">
        <f aca="false">SUM(G26:G28)</f>
        <v>15350.45</v>
      </c>
      <c r="H29" s="19"/>
      <c r="I29" s="21" t="n">
        <f aca="false">SUM(I26:I28)</f>
        <v>0</v>
      </c>
      <c r="J29" s="22" t="str">
        <f aca="false">IF(OR(I29=0,G29=0),"",I29/G29)</f>
        <v/>
      </c>
      <c r="K29" s="19"/>
    </row>
    <row r="30" customFormat="false" ht="73.5" hidden="false" customHeight="true" outlineLevel="0" collapsed="false">
      <c r="A30" s="12" t="n">
        <v>4</v>
      </c>
      <c r="B30" s="12" t="n">
        <v>13</v>
      </c>
      <c r="C30" s="13" t="s">
        <v>48</v>
      </c>
      <c r="D30" s="12" t="s">
        <v>33</v>
      </c>
      <c r="E30" s="14" t="n">
        <v>40</v>
      </c>
      <c r="F30" s="15" t="n">
        <v>185.07</v>
      </c>
      <c r="G30" s="15" t="n">
        <f aca="false">IF(F30="","",E30*F30)</f>
        <v>7402.8</v>
      </c>
      <c r="H30" s="16"/>
      <c r="I30" s="15" t="str">
        <f aca="false">IF(H30="","",E30*H30)</f>
        <v/>
      </c>
      <c r="J30" s="17" t="str">
        <f aca="false">IF(OR(H30="",F30=""),"",H30/F30)</f>
        <v/>
      </c>
      <c r="K30" s="18"/>
    </row>
    <row r="31" customFormat="false" ht="60" hidden="false" customHeight="true" outlineLevel="0" collapsed="false">
      <c r="A31" s="12" t="n">
        <v>4</v>
      </c>
      <c r="B31" s="12" t="n">
        <v>14</v>
      </c>
      <c r="C31" s="13" t="s">
        <v>49</v>
      </c>
      <c r="D31" s="12" t="s">
        <v>33</v>
      </c>
      <c r="E31" s="14" t="n">
        <v>20</v>
      </c>
      <c r="F31" s="15" t="n">
        <v>65.39</v>
      </c>
      <c r="G31" s="15" t="n">
        <f aca="false">IF(F31="","",E31*F31)</f>
        <v>1307.8</v>
      </c>
      <c r="H31" s="16"/>
      <c r="I31" s="15" t="str">
        <f aca="false">IF(H31="","",E31*H31)</f>
        <v/>
      </c>
      <c r="J31" s="17" t="str">
        <f aca="false">IF(OR(H31="",F31=""),"",H31/F31)</f>
        <v/>
      </c>
      <c r="K31" s="18"/>
    </row>
    <row r="32" customFormat="false" ht="15" hidden="false" customHeight="false" outlineLevel="0" collapsed="false">
      <c r="A32" s="19"/>
      <c r="B32" s="19"/>
      <c r="C32" s="20" t="s">
        <v>50</v>
      </c>
      <c r="D32" s="19"/>
      <c r="E32" s="19"/>
      <c r="F32" s="19"/>
      <c r="G32" s="21" t="n">
        <f aca="false">SUM(G30:G31)</f>
        <v>8710.6</v>
      </c>
      <c r="H32" s="19"/>
      <c r="I32" s="21" t="n">
        <f aca="false">SUM(I30:I31)</f>
        <v>0</v>
      </c>
      <c r="J32" s="22" t="str">
        <f aca="false">IF(OR(I32=0,G32=0),"",I32/G32)</f>
        <v/>
      </c>
      <c r="K32" s="19"/>
    </row>
    <row r="33" customFormat="false" ht="144" hidden="false" customHeight="true" outlineLevel="0" collapsed="false">
      <c r="A33" s="12" t="s">
        <v>51</v>
      </c>
      <c r="B33" s="12" t="n">
        <v>15</v>
      </c>
      <c r="C33" s="13" t="s">
        <v>52</v>
      </c>
      <c r="D33" s="12" t="s">
        <v>33</v>
      </c>
      <c r="E33" s="14" t="n">
        <v>1000</v>
      </c>
      <c r="F33" s="15" t="n">
        <v>827.67</v>
      </c>
      <c r="G33" s="15" t="n">
        <f aca="false">IF(F33="","",E33*F33)</f>
        <v>827670</v>
      </c>
      <c r="H33" s="16"/>
      <c r="I33" s="15" t="str">
        <f aca="false">IF(H33="","",E33*H33)</f>
        <v/>
      </c>
      <c r="J33" s="17" t="str">
        <f aca="false">IF(OR(H33="",F33=""),"",H33/F33)</f>
        <v/>
      </c>
      <c r="K33" s="18"/>
    </row>
    <row r="34" customFormat="false" ht="15" hidden="false" customHeight="false" outlineLevel="0" collapsed="false">
      <c r="A34" s="19"/>
      <c r="B34" s="19"/>
      <c r="C34" s="20" t="s">
        <v>53</v>
      </c>
      <c r="D34" s="19"/>
      <c r="E34" s="19"/>
      <c r="F34" s="19"/>
      <c r="G34" s="21" t="n">
        <f aca="false">SUM(G33:G33)</f>
        <v>827670</v>
      </c>
      <c r="H34" s="19"/>
      <c r="I34" s="21" t="n">
        <f aca="false">SUM(I33:I33)</f>
        <v>0</v>
      </c>
      <c r="J34" s="22" t="str">
        <f aca="false">IF(OR(I34=0,G34=0),"",I34/G34)</f>
        <v/>
      </c>
      <c r="K34" s="19"/>
    </row>
    <row r="35" customFormat="false" ht="102" hidden="false" customHeight="true" outlineLevel="0" collapsed="false">
      <c r="A35" s="12" t="s">
        <v>54</v>
      </c>
      <c r="B35" s="12" t="n">
        <v>16</v>
      </c>
      <c r="C35" s="13" t="s">
        <v>55</v>
      </c>
      <c r="D35" s="12" t="s">
        <v>33</v>
      </c>
      <c r="E35" s="14" t="n">
        <v>20</v>
      </c>
      <c r="F35" s="15" t="n">
        <v>1263.33</v>
      </c>
      <c r="G35" s="15" t="n">
        <f aca="false">IF(F35="","",E35*F35)</f>
        <v>25266.6</v>
      </c>
      <c r="H35" s="16"/>
      <c r="I35" s="15" t="str">
        <f aca="false">IF(H35="","",E35*H35)</f>
        <v/>
      </c>
      <c r="J35" s="17" t="str">
        <f aca="false">IF(OR(H35="",F35=""),"",H35/F35)</f>
        <v/>
      </c>
      <c r="K35" s="18"/>
    </row>
    <row r="36" customFormat="false" ht="15" hidden="false" customHeight="false" outlineLevel="0" collapsed="false">
      <c r="A36" s="19"/>
      <c r="B36" s="19"/>
      <c r="C36" s="20" t="s">
        <v>56</v>
      </c>
      <c r="D36" s="19"/>
      <c r="E36" s="19"/>
      <c r="F36" s="19"/>
      <c r="G36" s="21" t="n">
        <f aca="false">SUM(G35:G35)</f>
        <v>25266.6</v>
      </c>
      <c r="H36" s="19"/>
      <c r="I36" s="21" t="n">
        <f aca="false">SUM(I35:I35)</f>
        <v>0</v>
      </c>
      <c r="J36" s="22" t="str">
        <f aca="false">IF(OR(I36=0,G36=0),"",I36/G36)</f>
        <v/>
      </c>
      <c r="K36" s="19"/>
    </row>
    <row r="37" customFormat="false" ht="15" hidden="false" customHeight="false" outlineLevel="0" collapsed="false">
      <c r="A37" s="23"/>
      <c r="B37" s="23"/>
      <c r="C37" s="24" t="s">
        <v>57</v>
      </c>
      <c r="D37" s="23"/>
      <c r="E37" s="23"/>
      <c r="F37" s="23"/>
      <c r="G37" s="25" t="n">
        <f aca="false">G22+G25+G29+G32+G34+G36</f>
        <v>2755522.65</v>
      </c>
      <c r="H37" s="23"/>
      <c r="I37" s="25" t="n">
        <f aca="false">I22+I25+I29+I32+I34+I36</f>
        <v>0</v>
      </c>
      <c r="J37" s="26" t="str">
        <f aca="false">IF(OR(I37=0,G37=0),"",I37/G37)</f>
        <v/>
      </c>
      <c r="K37" s="23"/>
    </row>
  </sheetData>
  <conditionalFormatting sqref="J15:J37">
    <cfRule type="expression" priority="2" aboveAverage="0" equalAverage="0" bottom="0" percent="0" rank="0" text="" dxfId="0">
      <formula>AND(ISNUMBER(J15),J15&gt;=1)</formula>
    </cfRule>
    <cfRule type="expression" priority="3" aboveAverage="0" equalAverage="0" bottom="0" percent="0" rank="0" text="" dxfId="1">
      <formula>AND(ISNUMBER(J15),J15&gt;=0.9,J15&lt;1)</formula>
    </cfRule>
  </conditionalFormatting>
  <dataValidations count="1">
    <dataValidation allowBlank="true" error="Digite o valor unitário em reais, só números (ex.: 45,90)." errorStyle="stop" errorTitle="Valor inválido" operator="greaterThanOrEqual" showDropDown="false" showErrorMessage="false" showInputMessage="false" sqref="H15:H21 H23:H24 H26:H28 H30:H31 H33 H3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70"/>
  </cols>
  <sheetData>
    <row r="1" customFormat="false" ht="15" hidden="false" customHeight="false" outlineLevel="0" collapsed="false">
      <c r="A1" s="27" t="s">
        <v>58</v>
      </c>
      <c r="B1" s="28" t="s">
        <v>59</v>
      </c>
    </row>
    <row r="2" customFormat="false" ht="15" hidden="false" customHeight="false" outlineLevel="0" collapsed="false">
      <c r="A2" s="27" t="s">
        <v>60</v>
      </c>
      <c r="B2" s="28" t="s">
        <v>61</v>
      </c>
    </row>
    <row r="3" customFormat="false" ht="15" hidden="false" customHeight="false" outlineLevel="0" collapsed="false">
      <c r="A3" s="27" t="s">
        <v>62</v>
      </c>
      <c r="B3" s="28" t="s">
        <v>5</v>
      </c>
    </row>
    <row r="4" customFormat="false" ht="15" hidden="false" customHeight="false" outlineLevel="0" collapsed="false">
      <c r="A4" s="27" t="s">
        <v>63</v>
      </c>
      <c r="B4" s="28" t="s">
        <v>64</v>
      </c>
    </row>
    <row r="5" customFormat="false" ht="15" hidden="false" customHeight="false" outlineLevel="0" collapsed="false">
      <c r="A5" s="27" t="s">
        <v>65</v>
      </c>
      <c r="B5" s="28" t="s">
        <v>11</v>
      </c>
    </row>
    <row r="6" customFormat="false" ht="15" hidden="false" customHeight="false" outlineLevel="0" collapsed="false">
      <c r="A6" s="27" t="s">
        <v>66</v>
      </c>
      <c r="B6" s="28" t="s">
        <v>67</v>
      </c>
    </row>
    <row r="7" customFormat="false" ht="15" hidden="false" customHeight="false" outlineLevel="0" collapsed="false">
      <c r="A7" s="27" t="s">
        <v>68</v>
      </c>
      <c r="B7" s="28" t="s">
        <v>69</v>
      </c>
    </row>
    <row r="8" customFormat="false" ht="15" hidden="false" customHeight="false" outlineLevel="0" collapsed="false">
      <c r="A8" s="27" t="s">
        <v>70</v>
      </c>
      <c r="B8" s="28"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2026-09-30T11:45:53Z</dcterms:created>
  <dc:creator>openpyxl</dc:creator>
  <dc:description/>
  <dc:language>en-US</dc:language>
  <cp:lastModifiedBy/>
  <dcterms:modified xsi:type="dcterms:W3CDTF">2026-09-30T11:45:53Z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