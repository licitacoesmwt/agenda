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<sst xmlns="http://schemas.openxmlformats.org/spreadsheetml/2006/main" count="231" uniqueCount="140">
  <si>
    <t xml:space="preserve">TABELA NEGOCIAÇÃO PREGÃO - MENOR PREÇO LOTE</t>
  </si>
  <si>
    <t xml:space="preserve">Órgão</t>
  </si>
  <si>
    <t xml:space="preserve">Prefeitura Municipal de Toledo/PR — Diversas secretarias (Assistência Social/SUAS, Saúde, Educação, Trânsito, FUNREBOM/Bombeiros, Procon, Cozinha Social)</t>
  </si>
  <si>
    <t xml:space="preserve">Total de entrada</t>
  </si>
  <si>
    <t xml:space="preserve">Processo</t>
  </si>
  <si>
    <t xml:space="preserve">Pregão Eletrônico nº 82/2026 (Registro de Preços 12 meses) — Proc. SEI 01.03.027439/2026-79</t>
  </si>
  <si>
    <t xml:space="preserve">Total mínimo</t>
  </si>
  <si>
    <t xml:space="preserve">Sessão</t>
  </si>
  <si>
    <t xml:space="preserve">sexta-feira, 09/10/2026 às 08:00 (Brasília)</t>
  </si>
  <si>
    <t xml:space="preserve">Mínimo ÷ entrada</t>
  </si>
  <si>
    <t xml:space="preserve">Portal</t>
  </si>
  <si>
    <t xml:space="preserve">BLL — Bolsa de Licitações e Leilões (www.bll.org.br)</t>
  </si>
  <si>
    <t xml:space="preserve">Itens preenchidos</t>
  </si>
  <si>
    <t xml:space="preserve">Critério</t>
  </si>
  <si>
    <t xml:space="preserve">Menor preço por lote — modo de disputa aberto (91 lotes, 1 item cada); lances às 8h30</t>
  </si>
  <si>
    <t xml:space="preserve">Participação</t>
  </si>
  <si>
    <t xml:space="preserve">Exclusivo ME/EPP (lotes 22 e 33 em ampla concorrência) — prioridade ME/EPP sediada em Toledo/PR até 10% do melhor preço</t>
  </si>
  <si>
    <t xml:space="preserve">Preencher até</t>
  </si>
  <si>
    <t xml:space="preserve">08/10/2026 (quinta-feira)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</si>
  <si>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</si>
  <si>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</si>
  <si>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</si>
  <si>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</si>
  <si>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</si>
  <si>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</si>
  <si>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</si>
  <si>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</si>
  <si>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</si>
  <si>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</si>
  <si>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</si>
  <si>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</si>
  <si>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</si>
  <si>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Avental adulto branco em tecido oxford ≥170 g/m², sem bolso, tiras de amarração; serigrafia brasão + "PREFEITURA DO MUNICÍPIO DE TOLEDO-PR" no peito; aprox. 77×57 cm</t>
  </si>
  <si>
    <t xml:space="preserve">UN</t>
  </si>
  <si>
    <t xml:space="preserve">Bermuda masculina padrão Bombeiro Militar, 100% poliéster 110 g/m² (sarja 2x1 ou tela) vermelha Pantone 19-1664; elástico + cordão; 3 bolsos (2 laterais em tela amarela, 1 traseiro com ilhós); brasão CBMPR costurado; silk "BOMBEIROS" amarelo</t>
  </si>
  <si>
    <t xml:space="preserve">Calça em brim pesado 100% algodão, cinza escuro; cós com passadores, botão e zíper de metal, elástico atrás; bolso interno + 2 traseiros; costura dupla; tam. 38 ao 54</t>
  </si>
  <si>
    <t xml:space="preserve">Calça em brim pesado 100% algodão, cinza escuro; 1/2 cós e 1/2 elástico; zíper e botão de metal; 2 bolsos frontais e 2 traseiros; tam. 38 ao 54</t>
  </si>
  <si>
    <t xml:space="preserve">Calça de capoeira adulto, 100% poliamida, branca; costura e gancho reforçados, 8 passantes, sem elástico, abertura lateral para amarrar; tam. 38 ao 54</t>
  </si>
  <si>
    <t xml:space="preserve">Calça de capoeira infantil, 100% poliamida, branca; costura e gancho reforçados, 8 passantes, sem elástico, abertura lateral para amarrar; tam. 6 ao 16</t>
  </si>
  <si>
    <t xml:space="preserve">Calça em rip stop 57% algodão/43% poliéster, tela 1x1, 238 g/m², azul marinho; cós 3,5 cm, 7 passantes, zíper de metal; 2 bolsos faca, 2 cargo nas coxas e 2 traseiros cargo com lapela e velcro; tam. 38 ao 54</t>
  </si>
  <si>
    <t xml:space="preserve">Calça feminina flare em malha body fit 325 g/m² (80% poliamida, 12% poliéster, 8% elastano), preta; sem bolso; cós elástico 4 cm; tam. 38 ao 54</t>
  </si>
  <si>
    <t xml:space="preserve">Calça feminina em rip stop 220 g/m² FPS 30 (50% poliamida/50% algodão), preta; cós entretelado 4,5 cm, 7 passantes, zíper de metal; 2 bolsos faca, 2 laterais chapados com portinhola e velcro, 2 traseiros com portinhola; reforço entrepernas; tam. 38 ao 54</t>
  </si>
  <si>
    <t xml:space="preserve">Calça masculina em brim leve 100% algodão, preta, modelo jeans; cós com passadores, zíper e botão de metal; 2 bolsos frontais e 2 traseiros; tam. 38 ao 54</t>
  </si>
  <si>
    <t xml:space="preserve">Calça masculina em brim pesado 100% algodão, cor chumbo; cós com elástico; 2 bolsos frontais, 2 traseiros e 2 laterais; com joelheira; tam. 38 ao 54</t>
  </si>
  <si>
    <t xml:space="preserve">Calça masculina em brim pesado 100% algodão, sarja 3x1, 262 g/m², branca; elástico na cintura; bolso traseiro 18×15,5 cm; tam. 38 ao 54</t>
  </si>
  <si>
    <t xml:space="preserve">Calça masculina em brim pesado 100% algodão, sarja 3x1, 262 g/m², cinza; elástico na cintura; bolso traseiro 18×15,5 cm; tam. 38 ao 54</t>
  </si>
  <si>
    <t xml:space="preserve">Calça masculina em rip stop 220 g/m² FPS 30 (50% poliamida/50% algodão), preta; cós entretelado 4,5 cm, 7 passantes, zíper de metal; 2 bolsos faca, 2 laterais chapados com portinhola e velcro, 2 traseiros com portinhola; reforço entrepernas; tam. 38 ao 54</t>
  </si>
  <si>
    <t xml:space="preserve">Camisa em brim leve 100% algodão, sarja 2x1, 190 g/m², branca; manga curta; gola polo no mesmo tecido, sem botões, abertura frontal 11 cm; tam. P ao XXG</t>
  </si>
  <si>
    <t xml:space="preserve">Camisa em brim leve 100% algodão, sarja 2x1, 190 g/m², branca; manga longa; gola polo no mesmo tecido, sem botões, abertura frontal 11 cm; tam. P ao XXG</t>
  </si>
  <si>
    <t xml:space="preserve">Camisa polo FUNREBOM, malha piquet PA 50/50 fio penteado antipilling ≥200 g/m²; azul royal/marinho com gola, vista, filetes nas cavas, mangas e barra em vermelho; 3 botões brancos; bolso; bordado 6 cores 9×7 cm (brasão + "FUNREBOM"); tam. PP ao XG</t>
  </si>
  <si>
    <t xml:space="preserve">Camisa polo manga curta, piquet 53% algodão/47% poliéster, branca; bordado frontal esquerdo "Conselho Municipal de Saúde" 8×9 cm; tam. P ao XXG</t>
  </si>
  <si>
    <t xml:space="preserve">Camisa polo manga curta, piquet inglês 165 g/m² (53% alg./47% pol.), branca; gola 8 cm, 3 botões; serigrafia brasão 6 cores (esq.), SUS 1 cor (dir.) e "Agente Comunitário de Saúde – Toledo-PR" 1 cor nas costas; tam. P ao XXG</t>
  </si>
  <si>
    <t xml:space="preserve">Camisa manga longa com punho (2 botões), tecido 50% poliéster/50% algodão 120 g/m²; abertura frontal total com botões; bordado 9×7 cm (brasão + secretaria) no peito esquerdo; tam. PP ao XXXG e especiais; cores a definir</t>
  </si>
  <si>
    <t xml:space="preserve">Camiseta adulto manga curta, malha PV 67/33 165 g/m² antipilling, branca; gola redonda com ribana 2,5 cm; serigrafia 5 cores (frente logo da campanha + costas texto); tam. PP ao XG</t>
  </si>
  <si>
    <t xml:space="preserve">Camiseta adulto manga curta, malha PV 67/33 165 g/m² antipilling; gola redonda com ribana 2,5 cm; silk 5 cores (frente logo da campanha + costas texto); cores a definir; tam. PP ao XXXG — AMPLA CONCORRÊNCIA</t>
  </si>
  <si>
    <t xml:space="preserve">Camiseta adulto manga curta, malha PV 67/33 165 g/m² antipilling; gola redonda com ribana 2,5 cm; silk 5 cores (frente, costas e mangas); cores a definir; tam. PP ao XXXG</t>
  </si>
  <si>
    <t xml:space="preserve">Camiseta branca, malha PV 67/33, gola redonda em ribana; serigrafia colorida do brasão 8×8 cm (peito esq.) e "ALIMENTAÇÃO ESCOLAR" preto 4×25 cm nas costas; tam. P ao EXGG</t>
  </si>
  <si>
    <t xml:space="preserve">Camisa polo manga curta, piquet inglês 165 g/m² (53% alg./47% pol.), cinza; gola 8 cm, 3 botões, bolso; filete e botões em 2ª cor; bordado 5 cores 9×7 cm (brasão + secretaria) e bordado "CADASTRO ÚNICO" à direita; tam. PP ao XG</t>
  </si>
  <si>
    <t xml:space="preserve">Camisa polo manga curta, piquet inglês 165 g/m² (53% alg./47% pol.), verde militar; gola 8 cm, 3 botões; bordado 5 cores 7×7 cm (brasão + Vigilância em Saúde) e símbolo SUS à direita; tam. P ao XXG</t>
  </si>
  <si>
    <t xml:space="preserve">Camisa polo manga curta, piquet inglês 165 g/m² (53% alg./47% pol.); gola 8 cm, 3 botões, bolso; filete e botões em 2ª cor; bordado 5 cores 9×7 cm (brasão + secretaria); cores a definir; tam. PP ao XG</t>
  </si>
  <si>
    <t xml:space="preserve">Camiseta gola polo manga longa com punho, malha 67% poliéster/33% algodão; serigrafia 9×7 cm (brasão + secretaria) no peito e nome da secretaria 1 cor 28×17 cm nas costas; tam. PP ao XXXG; cores a definir</t>
  </si>
  <si>
    <t xml:space="preserve">Camiseta manga longa, malha PV 67/33, branca; gola redonda ribana 2,5 cm e punho ribana 5 cm; serigrafia brasão colorido (esq.) e SUS (dir.); costas "AGENTE COMUNITÁRIO DE SAÚDE – TOLEDO-PR" preto; tam. P ao XXG</t>
  </si>
  <si>
    <t xml:space="preserve">Camiseta infantil manga curta, malha PV 67/33 165 g/m² antipilling, branca; gola redonda ribana 2,5 cm; serigrafia 5 cores (frente, costas e mangas); tam. 06 ao 16</t>
  </si>
  <si>
    <t xml:space="preserve">Camiseta infantil manga curta, malha PV 67/33 165 g/m² antipilling; gola redonda ribana 2,5 cm; serigrafia 5 cores (frente + costas); cores a definir; tam. 06 ao 16</t>
  </si>
  <si>
    <t xml:space="preserve">Camiseta infantil manga curta, malha PV 67/33 165 g/m² antipilling; gola redonda ribana 2,5 cm; serigrafia 5 cores (frente, costas e mangas); cores a definir; tam. 06 ao 16</t>
  </si>
  <si>
    <t xml:space="preserve">Camiseta infantil/juvenil manga curta, 91% poliéster/9% elastano dry ≥130 g/m²; ribanas de gola e mangas coloridas; 100% sublimada (peito 25×20, costas 25×5 + marca d'água 25×20 com brasão, manga 4×4); cores a definir; tam. 8 ao 16 — AMPLA CONCORRÊNCIA</t>
  </si>
  <si>
    <t xml:space="preserve">Camiseta adulto manga curta, 91% poliéster/9% elastano dry elastic ≥130 g/m²; ribanas coloridas; 100% sublimada (peito 20×23, costas 5×25, mangas 8×8); cores a definir; tam. P ao EXG</t>
  </si>
  <si>
    <t xml:space="preserve">Camiseta adulto manga curta, 91% poliéster/9% elastano dry ≥130 g/m², 100% sublimada; gola redonda em ribana; logomarca frente 20×23 e costas 10×10, escrita 5×25, mangas 8×8; cores a definir; tam. P ao EXG</t>
  </si>
  <si>
    <t xml:space="preserve">Camiseta infantil/juvenil manga curta, 91% poliéster/9% elastano dry elastic ≥130 g/m²; ribanas coloridas; 100% sublimada (peito 20×23, costas 5×25, mangas 8×8); cores a definir; tam. 8 ao 16</t>
  </si>
  <si>
    <t xml:space="preserve">Camiseta adulto manga curta, 91% poliéster/9% elastano dry ≥130 g/m²; ribanas coloridas; 100% sublimada (peito 25×20, costas 25×5 + marca d'água 25×20 com brasão, manga 4×4); cores a definir; tam. P ao EXG</t>
  </si>
  <si>
    <t xml:space="preserve">Camiseta adulto manga curta, malha PV (65–67% pol./33–35% visc.) 140–165 g/m², fio 30/1; ribanas coloridas; 100% sublimada (frente 25×20, costas 25×5 com logo + 9×20); cores a definir; tam. P ao EXG</t>
  </si>
  <si>
    <t xml:space="preserve">Camiseta infantil/juvenil manga curta, malha PV (65–67% pol./33–35% visc.) 140–165 g/m², fio 30/1; ribanas coloridas; 100% sublimada (frente 25×20, costas 25×5 com logo + 9×20); tam. 8 ao 16</t>
  </si>
  <si>
    <t xml:space="preserve">Camiseta infantil manga curta, malha PV 140–165 g/m², fio 30/1, amarelo ouro com ribanas vermelho carmim; serigrafia logo "Circo da Magia" 25×20 no peito, nome da escola 5×20 e lema 9×20 nas costas; tam. 6 ao 16</t>
  </si>
  <si>
    <t xml:space="preserve">Camiseta manga curta, malha PV 67/33, branca, gola redonda; serigrafia colorida logo da Prefeitura na manga esquerda (10×8 cm) e logo da campanha na frente (18×9 cm); tam. P ao XXG</t>
  </si>
  <si>
    <t xml:space="preserve">Camiseta manga curta, malha PV 67/33, preta, gola redonda; serigrafia colorida logo da Prefeitura na manga esquerda (10×8 cm) e logo da campanha na frente (18×9 cm); tam. P ao XXG</t>
  </si>
  <si>
    <t xml:space="preserve">Camiseta adulto manga curta, malha PV 67/33 ≥130 g/m², gola redonda ribana 2,5 cm; 100% sublimada (frente 20×20, costas 22×17 com brasão); cores a definir; tam. P ao XXG</t>
  </si>
  <si>
    <t xml:space="preserve">Camiseta infantil manga curta, malha PV 67/33 ≥130 g/m², gola redonda ribana 2,5 cm; 100% sublimada (frente 20×20, costas 22×17 com brasão); cores a definir; tam. 8 ao 16</t>
  </si>
  <si>
    <t xml:space="preserve">Camiseta manga longa unissex, Power Dry 90% poliéster/10% elastano com proteção UV FPU 50 (≥98%); punho elástico 4 cm; gola padre com zíper; serigrafia 9×7 cm (brasão + secretaria) e nome da secretaria 1 cor 28×17 cm nas costas; tam. PP ao XXXG</t>
  </si>
  <si>
    <t xml:space="preserve">Camisa polo masculina manga curta, piquet inglês 165 g/m² (53% alg./47% pol.); gola 8 cm, 3 botões, bolso; filete e botões em 2ª cor; bordado 5 cores 9×7 cm (brasão + secretaria) + serigrafia do nome da secretaria nas costas; tam. P ao XXG; cores a definir</t>
  </si>
  <si>
    <t xml:space="preserve">Camisa polo masculina manga curta, piquet inglês 165 g/m² (53% alg./47% pol.); gola 8 cm, 3 botões, bolso; filete e botões em 2ª cor; serigrafia 5 cores 9×7 cm (brasão + secretaria) no bolso; tam. PP ao XG; cores a definir</t>
  </si>
  <si>
    <t xml:space="preserve">Camisa polo masculina manga curta, piquet inglês 165 g/m² (53% alg./47% pol.), branca; gola 8 cm, 3 botões, bolso; filete e botões em 2ª cor; bordado 5 cores 9×7 cm (brasão + secretaria); tam. PP ao XG</t>
  </si>
  <si>
    <t xml:space="preserve">Camisa polo masculina manga longa com punho em ribana, piquet inglês 165 g/m² (53% alg./47% pol.); gola 8 cm, 3 botões, bolso; filete e botões em 2ª cor; serigrafia 5 cores 9×7 cm no bolso e 1 cor 28×17 cm nas costas; vermelho, verde bandeira ou azul marinho; tam. PP ao XG</t>
  </si>
  <si>
    <t xml:space="preserve">Camisa polo masculina manga longa com punho em ribana, piquet inglês 165 g/m² (53% alg./47% pol.); gola 8 cm, 3 botões, bolso; patê e botões em 2ª cor; bordado 5 cores 9×7 cm (brasão + secretaria); vermelho, verde bandeira ou azul marinho; tam. PP ao XG</t>
  </si>
  <si>
    <t xml:space="preserve">Camiseta masculina manga curta, malha PV 67/33 165 g/m² antipilling; gola redonda ribana 2,5 cm; serigrafia 5 cores 9×7 cm (brasão + secretaria) no peito esquerdo; cores a definir; tam. PP ao XG</t>
  </si>
  <si>
    <t xml:space="preserve">Camiseta masculina manga longa, malha PV 67/33 165 g/m² antipilling; gola ribana 2,5 cm e punho ribana 5 cm; serigrafia 5 cores 9×7 cm (brasão + secretaria) no peito e 1 cor 28×17 cm nas costas; cores a definir; tam. PP ao XG</t>
  </si>
  <si>
    <t xml:space="preserve">Camiseta manga curta padrão Bombeiro Militar, 100% poliamida 6.0/6.6 furadinha 120–135 g/m², UV25, vermelha Pantone 19-1664; gola redonda; brasão CBMPR em serigrafia acrílica emborrachada no peito; "BOMBEIRO MILITAR PARANÁ" em termocolante neon amarelo nas costas</t>
  </si>
  <si>
    <t xml:space="preserve">Camiseta regata modelo nadador, 91% poliéster/9% elastano dry elastic ≥130 g/m², acabamento em viés; 100% sublimada (frente 20×23, costas 10×10 e 5×25 com brasão 8×8, 8×8); preta; tam. P ao EXG</t>
  </si>
  <si>
    <t xml:space="preserve">Camiseta regata modelo nadador infantil/juvenil, 91% poliéster/9% elastano dry elastic ≥130 g/m², acabamento em viés; 100% sublimada (frente 20×23, costas 10×10 e 5×25 com brasão 8×8, 8×8); preta; tam. 8 ao 16</t>
  </si>
  <si>
    <t xml:space="preserve">Camiseta térmica segunda pele com proteção UV, manga longa unissex, malha 80% poliamida/20% elastano 175 g/m²; gola careca em ribana 2 cm; cor a definir; tam. PP ao XXXG</t>
  </si>
  <si>
    <t xml:space="preserve">Camiseta térmica segunda pele com proteção UV, manga longa unissex, malha 80% poliamida/20% elastano 175 g/m², branca; gola careca em ribana 2 cm; tam. PP ao XG</t>
  </si>
  <si>
    <t xml:space="preserve">Camisa polo manga curta, piquet inglês 165 g/m² (53% alg./47% pol.), azul marinho; gola 8 cm, 3 botões, bolso; 3 bordados: EducaTrânsito 7×7 no bolso, brasão + Dep. Trânsito 8,5×8,5 na manga esq., "Sinalize pela Vida" 8,5×8,5 na manga dir.; tam. P ao GG</t>
  </si>
  <si>
    <t xml:space="preserve">Camisa polo manga curta, piquet inglês 185 g/m² (53% alg./47% pol.), branca; gola 8 cm, 3 botões, bolso; 3 bordados: EducaTrânsito 7×7 no bolso, brasão + Dep. Trânsito 8,5×8,5 na manga esq., "Sinalize pela Vida" 8,5×8,5 na manga dir.; tam. P ao GG</t>
  </si>
  <si>
    <t xml:space="preserve">Camisa polo manga curta tamanho especial, piquet inglês 165 g/m² (53% alg./47% pol.), azul marinho; gola 8 cm, 3 botões, bolso; 3 bordados (EducaTrânsito no bolso, brasão + Dep. Trânsito na manga esq., "Sinalize pela Vida" na manga dir.); tam. G ao XXXG</t>
  </si>
  <si>
    <t xml:space="preserve">Chapéu estilo australiano 100% algodão, cinza; aba traseira protetora de pescoço/nuca, botões laterais, cordão e alça de queixo; impressão logo do Município 6×6 cm na frente</t>
  </si>
  <si>
    <t xml:space="preserve">Chapéu tipo australiano 100% poliéster; protetor de nuca/pescoço, botões nas abas laterais, cordão de queixo; tamanho único (circ. 58 cm, aba 8,5 cm); bordado 5 cores 7×7 cm (brasão + secretaria); cores a definir</t>
  </si>
  <si>
    <t xml:space="preserve">Colete Defesa Civil COMDEC, laranja, tecido Techno Rip Stop (30% algodão/70% poliéster); tam. P ao XXG</t>
  </si>
  <si>
    <t xml:space="preserve">Colete em tactel liso 100% poliéster, vermelho com detalhes e zíper verdes; bolso frontal; brasão bordado 8×8 cm no peito esquerdo; conforme modelo anexo ao processo; tam. P ao XXG</t>
  </si>
  <si>
    <t xml:space="preserve">Colete em tactel azul bebê; bordados: Secretaria de Saúde (frente dir.), SUS (frente esq.) e "AGENTE COMUNITÁRIO DE SAÚDE – TOLEDO/PR" nas costas; zíper, elástico de regulagem, 2 bolsos frontais; tam. P ao XXG</t>
  </si>
  <si>
    <t xml:space="preserve">Colete em tactel cinza; bordado 5 cores 9×7 cm (brasão + secretaria) na frente e bordado 1 cor 28×17 cm nas costas; zíper frontal, elástico na cintura, 2 bolsos frontais com zíper; tam. P ao XG</t>
  </si>
  <si>
    <t xml:space="preserve">Colete em tactel verde bandeira; bordado 5 cores 9×7 cm (brasão + secretaria) na frente e bordado 1 cor 28×17 cm nas costas; zíper frontal, elástico na cintura, 2 bolsos frontais com zíper; tam. PP ao XG</t>
  </si>
  <si>
    <t xml:space="preserve">Colete infantil em tactel verde bandeira; bordado 5 cores 9×7 cm (brasão + secretaria) na frente e bordado 1 cor ~20×10 cm nas costas; zíper frontal, elástico na cintura, 2 bolsos frontais com zíper; tam. 06 ao 16</t>
  </si>
  <si>
    <t xml:space="preserve">Colete multiuso em suplex 100% poliamida com tela antitranspirante; 2 regulagens laterais; pala traseira destacável com zíper; 14 bolsos (internos, com zíper, com aba e velcro); bordados 5 cores 6×6 cm (brasão + secretaria) e 4×10 cm; tam. P ao EXG; cores a definir</t>
  </si>
  <si>
    <t xml:space="preserve">Colete sem manga em brim 100% algodão, preto; zíper frontal; 3 bolsos chapados; bordado brasão + nome da secretaria na frente e "ORGANIZAÇÃO" em branco nas costas; tam. P ao EXG</t>
  </si>
  <si>
    <t xml:space="preserve">Colete sem manga em brim 100% algodão, preto; zíper frontal; 3 bolsos chapados; bordado brasão + símbolo PROCON na frente e "FISCALIZAÇÃO PROCON TOLEDO-PR" em branco nas costas; tam. M e G</t>
  </si>
  <si>
    <t xml:space="preserve">Conjunto pijama cirúrgico (blusa + calça) em gabardine 100% poliéster; blusa gola V manga curta com 2 bolsos chapados; calça com cós elástico e 2 bolsos laterais embutidos; cores a definir; tam. PP ao XG</t>
  </si>
  <si>
    <t xml:space="preserve">CJ</t>
  </si>
  <si>
    <t xml:space="preserve">Jaleco em brim leve 100% algodão, sarja 2x1, 190 g/m², cinza escuro; abertura frontal com botões; 2 bolsos; manga longa; comprimento até o joelho; tam. PP ao XG</t>
  </si>
  <si>
    <t xml:space="preserve">Jaleco em brim leve 100% algodão, sarja 2x1, 190 g/m², cinza escuro; abertura frontal com botões; 2 bolsos; manga curta; comprimento até o joelho; tam. PP ao XG</t>
  </si>
  <si>
    <t xml:space="preserve">Jaleco manga curta em brim leve 100% algodão, azul anil; 3 bolsos; comprimento médio; serigrafia colorida logo/brasão 8×8 cm na frente e escrita 1 cor 25×15 cm nas costas; tam. PP ao XXG</t>
  </si>
  <si>
    <t xml:space="preserve">Jaleco manga longa branco, masc./fem., gabardine 97% poliéster/3% elastano 146–155 g/m²; gola padre, punho em ribana, 2 bolsos inferiores, botões; bordado 5 cores 9×7 cm (brasão + Saúde/setor) e SUS 6×6 cm; tam. PP ao XG</t>
  </si>
  <si>
    <t xml:space="preserve">Jaleco manga longa em brim leve 100% algodão, azul anil; 3 bolsos; comprimento médio; serigrafia colorida logo/brasão 8×8 cm na frente e escrita 1 cor 25×15 cm nas costas; tam. PP ao XXG</t>
  </si>
  <si>
    <t xml:space="preserve">Jaleco feminino branco, microfibra gabardine 100% poliéster 200 g/m²; botões cobertos, gola tradicional, manga curta, acinturado, até o joelho; 3 bolsos; bordado brasão 6×6 cm; tam. PP ao XG</t>
  </si>
  <si>
    <t xml:space="preserve">Jaleco feminino branco, microfibra gabardine 100% poliéster 200 g/m²; botões ocultos, gola tradicional, manga longa com punho em ribana, acinturado, até o joelho; 3 bolsos; bordado brasão 6×6 cm; tam. PP ao XG</t>
  </si>
  <si>
    <t xml:space="preserve">Jaleco masculino branco, microfibra gabardine 100% poliéster 200 g/m²; botões cobertos, gola tradicional, manga longa com punho em ribana, até o joelho; 3 bolsos; bordado brasão 6×6 cm; tam. PP ao XG</t>
  </si>
  <si>
    <t xml:space="preserve">Jaleco masculino branco, microfibra gabardine 100% poliéster 200 g/m²; botões cobertos, gola tradicional, manga curta, até o joelho; 3 bolsos; bordado brasão 6×6 cm; tam. PP ao XG</t>
  </si>
  <si>
    <t xml:space="preserve">Jaleco sem manga em microfibra, cinza claro; gola V, botões, 3 bolsos, até meia coxa, viés nos bolsos e frente; bordado brasão 10×5 cm + "Serviço Geral" e bordado SUS 5×3 cm; tam. P ao XXG</t>
  </si>
  <si>
    <t xml:space="preserve">Japona para câmara fria em nylon com manta interna 150 g/m², punho sanfonado, velcro e 4 botões de pressão metálicos, uso a −25 °C ou inferior; branca; CA com validade ≥1 ano (ref. CA 28022); mostruário de tamanhos P ao XG</t>
  </si>
  <si>
    <t xml:space="preserve">Jaqueta masculina em nylon paraquedas resinado 100% poliéster, forro matelassê fibra 6 mm, preta; zíper, punho elástico 3 cm, 2 bolsos diagonais com zíper, capuz com cordão, barra com cordão; bordado brasão 7×7 + "Cozinha Social" e "TOLEDO-PR" 23×3 nas costas; tam. P ao XXG</t>
  </si>
  <si>
    <t xml:space="preserve">Jaqueta masculina em nylon paraquedas resinado 100% poliéster, forro matelassê fibra 6 mm, preta; zíper até a gola, punho elástico 3 cm, 2 bolsos diagonais, barra com cordão; bordado colorido brasão 8×8 cm na frente e monocromático 23×15 cm nas costas; tam. P ao XXG</t>
  </si>
  <si>
    <t xml:space="preserve">Jaqueta masc./fem. em nylon paraquedas resinado 100% poliéster, preta, forro matelassê preto fibra 6 mm; zíper, punho elástico 3 cm, 2 bolsos faca com zíper + 1 interno; bordados: 5 cores 9×7 cm (brasão + secretaria), SUS e texto branco 17×21 cm nas costas; tam. PP ao XG</t>
  </si>
  <si>
    <t xml:space="preserve">Jaqueta masc./fem. em tactel impermeável 100% poliéster, azul bebê, forro matelassê fibra 6 mm; zíper, punho elástico 3 cm, 2 bolsos faca com zíper, barra com cordão; bordados: brasão + Saúde 7×7 cm, SUS 6×6 cm e "AGENTE COMUNITÁRIO DE SAÚDE – TOLEDO – PR" preto 28×17 cm nas costas; tam. PP ao XG</t>
  </si>
  <si>
    <t xml:space="preserve">Jaqueta masc./fem. em tactel impermeável 100% poliéster, preta, forro matelassê fibra 6 mm; zíper, punho elástico 3 cm, 2 bolsos faca com zíper, barra com cordão; bordado 5 cores 7×7 cm (brasão + secretaria) no peito; tam. PP ao XG</t>
  </si>
  <si>
    <t xml:space="preserve">Mochila preta ≥30 L (aprox. 45×30×20 cm) em poliéster/nylon de alta resistência impermeável, zíper duplo com PU, divisórias, bolsos laterais para garrafa, compartimento frontal, alças e costas acolchoadas, fundo reforçado, elementos refletivos; brasão personalizado; garantia mínima 12 meses</t>
  </si>
  <si>
    <t xml:space="preserve">Touca capuz dupla branca, malha PV 67/33 170 g/m²; parte interna com abas até o pescoço e tiras para amarrar; parte externa com abas até os ombros e cordão; cava facial; sem etiqueta; medidas conforme TR</t>
  </si>
  <si>
    <t xml:space="preserve">Touca simples em malha PV (67% poliéster/33% viscose), branca, com cordão, tamanho único; serigrafia do brasão do Município e sigla SIM/POA</t>
  </si>
  <si>
    <t xml:space="preserve">TOTAL GERAL</t>
  </si>
  <si>
    <t xml:space="preserve">id</t>
  </si>
  <si>
    <t xml:space="preserve">2026-10-09-toledo-pr</t>
  </si>
  <si>
    <t xml:space="preserve">orgao</t>
  </si>
  <si>
    <t xml:space="preserve">Prefeitura Municipal de Toledo/PR</t>
  </si>
  <si>
    <t xml:space="preserve">processo</t>
  </si>
  <si>
    <t xml:space="preserve">sessao</t>
  </si>
  <si>
    <t xml:space="preserve">2026-10-09T08:00</t>
  </si>
  <si>
    <t xml:space="preserve">portal</t>
  </si>
  <si>
    <t xml:space="preserve">criterio</t>
  </si>
  <si>
    <t xml:space="preserve">lote</t>
  </si>
  <si>
    <t xml:space="preserve">gerado_em</t>
  </si>
  <si>
    <t xml:space="preserve">2026-09-30 11:46</t>
  </si>
  <si>
    <t xml:space="preserve">fonte</t>
  </si>
  <si>
    <t xml:space="preserve">Edital PE 82/2026 — Anexo 01 (preço máximo por lote; total estimado R$ 1.278.911,21)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</si>
</sst>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DCE3EE"/>
        <bgColor rgb="FFC9CE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DCE3EE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G106</f>
        <v>1278911.21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I106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COUNT(H15:H105)&amp;" de 91"</f>
        <v>0 de 91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45.75" hidden="false" customHeight="true" outlineLevel="0" collapsed="false">
      <c r="A15" s="12" t="n">
        <v>1</v>
      </c>
      <c r="B15" s="12" t="n">
        <v>1</v>
      </c>
      <c r="C15" s="13" t="s">
        <v>32</v>
      </c>
      <c r="D15" s="12" t="s">
        <v>33</v>
      </c>
      <c r="E15" s="14" t="n">
        <v>670</v>
      </c>
      <c r="F15" s="15" t="n">
        <v>12.4</v>
      </c>
      <c r="G15" s="15" t="n">
        <f aca="false">IF(F15="","",E15*F15)</f>
        <v>8308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73.5" hidden="false" customHeight="true" outlineLevel="0" collapsed="false">
      <c r="A16" s="12" t="n">
        <v>2</v>
      </c>
      <c r="B16" s="12" t="n">
        <v>1</v>
      </c>
      <c r="C16" s="13" t="s">
        <v>34</v>
      </c>
      <c r="D16" s="12" t="s">
        <v>33</v>
      </c>
      <c r="E16" s="14" t="n">
        <v>100</v>
      </c>
      <c r="F16" s="15" t="n">
        <v>58.05</v>
      </c>
      <c r="G16" s="15" t="n">
        <f aca="false">IF(F16="","",E16*F16)</f>
        <v>5805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45.75" hidden="false" customHeight="true" outlineLevel="0" collapsed="false">
      <c r="A17" s="12" t="n">
        <v>3</v>
      </c>
      <c r="B17" s="12" t="n">
        <v>1</v>
      </c>
      <c r="C17" s="13" t="s">
        <v>35</v>
      </c>
      <c r="D17" s="12" t="s">
        <v>33</v>
      </c>
      <c r="E17" s="14" t="n">
        <v>400</v>
      </c>
      <c r="F17" s="15" t="n">
        <v>70.61</v>
      </c>
      <c r="G17" s="15" t="n">
        <f aca="false">IF(F17="","",E17*F17)</f>
        <v>28244</v>
      </c>
      <c r="H17" s="16"/>
      <c r="I17" s="15" t="str">
        <f aca="false">IF(H17="","",E17*H17)</f>
        <v/>
      </c>
      <c r="J17" s="17" t="str">
        <f aca="false">IF(OR(H17="",F17=""),"",H17/F17)</f>
        <v/>
      </c>
      <c r="K17" s="18"/>
    </row>
    <row r="18" customFormat="false" ht="45.75" hidden="false" customHeight="true" outlineLevel="0" collapsed="false">
      <c r="A18" s="12" t="n">
        <v>4</v>
      </c>
      <c r="B18" s="12" t="n">
        <v>1</v>
      </c>
      <c r="C18" s="13" t="s">
        <v>36</v>
      </c>
      <c r="D18" s="12" t="s">
        <v>33</v>
      </c>
      <c r="E18" s="14" t="n">
        <v>20</v>
      </c>
      <c r="F18" s="15" t="n">
        <v>93.71</v>
      </c>
      <c r="G18" s="15" t="n">
        <f aca="false">IF(F18="","",E18*F18)</f>
        <v>1874.2</v>
      </c>
      <c r="H18" s="16"/>
      <c r="I18" s="15" t="str">
        <f aca="false">IF(H18="","",E18*H18)</f>
        <v/>
      </c>
      <c r="J18" s="17" t="str">
        <f aca="false">IF(OR(H18="",F18=""),"",H18/F18)</f>
        <v/>
      </c>
      <c r="K18" s="18"/>
    </row>
    <row r="19" customFormat="false" ht="45.75" hidden="false" customHeight="true" outlineLevel="0" collapsed="false">
      <c r="A19" s="12" t="n">
        <v>5</v>
      </c>
      <c r="B19" s="12" t="n">
        <v>1</v>
      </c>
      <c r="C19" s="13" t="s">
        <v>37</v>
      </c>
      <c r="D19" s="12" t="s">
        <v>33</v>
      </c>
      <c r="E19" s="14" t="n">
        <v>70</v>
      </c>
      <c r="F19" s="15" t="n">
        <v>74.07</v>
      </c>
      <c r="G19" s="15" t="n">
        <f aca="false">IF(F19="","",E19*F19)</f>
        <v>5184.9</v>
      </c>
      <c r="H19" s="16"/>
      <c r="I19" s="15" t="str">
        <f aca="false">IF(H19="","",E19*H19)</f>
        <v/>
      </c>
      <c r="J19" s="17" t="str">
        <f aca="false">IF(OR(H19="",F19=""),"",H19/F19)</f>
        <v/>
      </c>
      <c r="K19" s="18"/>
    </row>
    <row r="20" customFormat="false" ht="45.75" hidden="false" customHeight="true" outlineLevel="0" collapsed="false">
      <c r="A20" s="12" t="n">
        <v>6</v>
      </c>
      <c r="B20" s="12" t="n">
        <v>1</v>
      </c>
      <c r="C20" s="13" t="s">
        <v>38</v>
      </c>
      <c r="D20" s="12" t="s">
        <v>33</v>
      </c>
      <c r="E20" s="14" t="n">
        <v>200</v>
      </c>
      <c r="F20" s="15" t="n">
        <v>69.29</v>
      </c>
      <c r="G20" s="15" t="n">
        <f aca="false">IF(F20="","",E20*F20)</f>
        <v>13858</v>
      </c>
      <c r="H20" s="16"/>
      <c r="I20" s="15" t="str">
        <f aca="false">IF(H20="","",E20*H20)</f>
        <v/>
      </c>
      <c r="J20" s="17" t="str">
        <f aca="false">IF(OR(H20="",F20=""),"",H20/F20)</f>
        <v/>
      </c>
      <c r="K20" s="18"/>
    </row>
    <row r="21" customFormat="false" ht="60" hidden="false" customHeight="true" outlineLevel="0" collapsed="false">
      <c r="A21" s="12" t="n">
        <v>7</v>
      </c>
      <c r="B21" s="12" t="n">
        <v>1</v>
      </c>
      <c r="C21" s="13" t="s">
        <v>39</v>
      </c>
      <c r="D21" s="12" t="s">
        <v>33</v>
      </c>
      <c r="E21" s="14" t="n">
        <v>14</v>
      </c>
      <c r="F21" s="15" t="n">
        <v>180.71</v>
      </c>
      <c r="G21" s="15" t="n">
        <f aca="false">IF(F21="","",E21*F21)</f>
        <v>2529.94</v>
      </c>
      <c r="H21" s="16"/>
      <c r="I21" s="15" t="str">
        <f aca="false">IF(H21="","",E21*H21)</f>
        <v/>
      </c>
      <c r="J21" s="17" t="str">
        <f aca="false">IF(OR(H21="",F21=""),"",H21/F21)</f>
        <v/>
      </c>
      <c r="K21" s="18"/>
    </row>
    <row r="22" customFormat="false" ht="45.75" hidden="false" customHeight="true" outlineLevel="0" collapsed="false">
      <c r="A22" s="12" t="n">
        <v>8</v>
      </c>
      <c r="B22" s="12" t="n">
        <v>1</v>
      </c>
      <c r="C22" s="13" t="s">
        <v>40</v>
      </c>
      <c r="D22" s="12" t="s">
        <v>33</v>
      </c>
      <c r="E22" s="14" t="n">
        <v>20</v>
      </c>
      <c r="F22" s="15" t="n">
        <v>120</v>
      </c>
      <c r="G22" s="15" t="n">
        <f aca="false">IF(F22="","",E22*F22)</f>
        <v>2400</v>
      </c>
      <c r="H22" s="16"/>
      <c r="I22" s="15" t="str">
        <f aca="false">IF(H22="","",E22*H22)</f>
        <v/>
      </c>
      <c r="J22" s="17" t="str">
        <f aca="false">IF(OR(H22="",F22=""),"",H22/F22)</f>
        <v/>
      </c>
      <c r="K22" s="18"/>
    </row>
    <row r="23" customFormat="false" ht="73.5" hidden="false" customHeight="true" outlineLevel="0" collapsed="false">
      <c r="A23" s="12" t="n">
        <v>9</v>
      </c>
      <c r="B23" s="12" t="n">
        <v>1</v>
      </c>
      <c r="C23" s="13" t="s">
        <v>41</v>
      </c>
      <c r="D23" s="12" t="s">
        <v>33</v>
      </c>
      <c r="E23" s="14" t="n">
        <v>150</v>
      </c>
      <c r="F23" s="15" t="n">
        <v>161.98</v>
      </c>
      <c r="G23" s="15" t="n">
        <f aca="false">IF(F23="","",E23*F23)</f>
        <v>24297</v>
      </c>
      <c r="H23" s="16"/>
      <c r="I23" s="15" t="str">
        <f aca="false">IF(H23="","",E23*H23)</f>
        <v/>
      </c>
      <c r="J23" s="17" t="str">
        <f aca="false">IF(OR(H23="",F23=""),"",H23/F23)</f>
        <v/>
      </c>
      <c r="K23" s="18"/>
    </row>
    <row r="24" customFormat="false" ht="45.75" hidden="false" customHeight="true" outlineLevel="0" collapsed="false">
      <c r="A24" s="12" t="n">
        <v>10</v>
      </c>
      <c r="B24" s="12" t="n">
        <v>1</v>
      </c>
      <c r="C24" s="13" t="s">
        <v>42</v>
      </c>
      <c r="D24" s="12" t="s">
        <v>33</v>
      </c>
      <c r="E24" s="14" t="n">
        <v>18</v>
      </c>
      <c r="F24" s="15" t="n">
        <v>57.02</v>
      </c>
      <c r="G24" s="15" t="n">
        <f aca="false">IF(F24="","",E24*F24)</f>
        <v>1026.36</v>
      </c>
      <c r="H24" s="16"/>
      <c r="I24" s="15" t="str">
        <f aca="false">IF(H24="","",E24*H24)</f>
        <v/>
      </c>
      <c r="J24" s="17" t="str">
        <f aca="false">IF(OR(H24="",F24=""),"",H24/F24)</f>
        <v/>
      </c>
      <c r="K24" s="18"/>
    </row>
    <row r="25" customFormat="false" ht="45.75" hidden="false" customHeight="true" outlineLevel="0" collapsed="false">
      <c r="A25" s="12" t="n">
        <v>11</v>
      </c>
      <c r="B25" s="12" t="n">
        <v>1</v>
      </c>
      <c r="C25" s="13" t="s">
        <v>43</v>
      </c>
      <c r="D25" s="12" t="s">
        <v>33</v>
      </c>
      <c r="E25" s="14" t="n">
        <v>34</v>
      </c>
      <c r="F25" s="15" t="n">
        <v>72.78</v>
      </c>
      <c r="G25" s="15" t="n">
        <f aca="false">IF(F25="","",E25*F25)</f>
        <v>2474.52</v>
      </c>
      <c r="H25" s="16"/>
      <c r="I25" s="15" t="str">
        <f aca="false">IF(H25="","",E25*H25)</f>
        <v/>
      </c>
      <c r="J25" s="17" t="str">
        <f aca="false">IF(OR(H25="",F25=""),"",H25/F25)</f>
        <v/>
      </c>
      <c r="K25" s="18"/>
    </row>
    <row r="26" customFormat="false" ht="45.75" hidden="false" customHeight="true" outlineLevel="0" collapsed="false">
      <c r="A26" s="12" t="n">
        <v>12</v>
      </c>
      <c r="B26" s="12" t="n">
        <v>1</v>
      </c>
      <c r="C26" s="13" t="s">
        <v>44</v>
      </c>
      <c r="D26" s="12" t="s">
        <v>33</v>
      </c>
      <c r="E26" s="14" t="n">
        <v>100</v>
      </c>
      <c r="F26" s="15" t="n">
        <v>68.96</v>
      </c>
      <c r="G26" s="15" t="n">
        <f aca="false">IF(F26="","",E26*F26)</f>
        <v>6896</v>
      </c>
      <c r="H26" s="16"/>
      <c r="I26" s="15" t="str">
        <f aca="false">IF(H26="","",E26*H26)</f>
        <v/>
      </c>
      <c r="J26" s="17" t="str">
        <f aca="false">IF(OR(H26="",F26=""),"",H26/F26)</f>
        <v/>
      </c>
      <c r="K26" s="18"/>
    </row>
    <row r="27" customFormat="false" ht="45.75" hidden="false" customHeight="true" outlineLevel="0" collapsed="false">
      <c r="A27" s="12" t="n">
        <v>13</v>
      </c>
      <c r="B27" s="12" t="n">
        <v>1</v>
      </c>
      <c r="C27" s="13" t="s">
        <v>45</v>
      </c>
      <c r="D27" s="12" t="s">
        <v>33</v>
      </c>
      <c r="E27" s="14" t="n">
        <v>28</v>
      </c>
      <c r="F27" s="15" t="n">
        <v>71.1</v>
      </c>
      <c r="G27" s="15" t="n">
        <f aca="false">IF(F27="","",E27*F27)</f>
        <v>1990.8</v>
      </c>
      <c r="H27" s="16"/>
      <c r="I27" s="15" t="str">
        <f aca="false">IF(H27="","",E27*H27)</f>
        <v/>
      </c>
      <c r="J27" s="17" t="str">
        <f aca="false">IF(OR(H27="",F27=""),"",H27/F27)</f>
        <v/>
      </c>
      <c r="K27" s="18"/>
    </row>
    <row r="28" customFormat="false" ht="73.5" hidden="false" customHeight="true" outlineLevel="0" collapsed="false">
      <c r="A28" s="12" t="n">
        <v>14</v>
      </c>
      <c r="B28" s="12" t="n">
        <v>1</v>
      </c>
      <c r="C28" s="13" t="s">
        <v>46</v>
      </c>
      <c r="D28" s="12" t="s">
        <v>33</v>
      </c>
      <c r="E28" s="14" t="n">
        <v>60</v>
      </c>
      <c r="F28" s="15" t="n">
        <v>135.45</v>
      </c>
      <c r="G28" s="15" t="n">
        <f aca="false">IF(F28="","",E28*F28)</f>
        <v>8127</v>
      </c>
      <c r="H28" s="16"/>
      <c r="I28" s="15" t="str">
        <f aca="false">IF(H28="","",E28*H28)</f>
        <v/>
      </c>
      <c r="J28" s="17" t="str">
        <f aca="false">IF(OR(H28="",F28=""),"",H28/F28)</f>
        <v/>
      </c>
      <c r="K28" s="18"/>
    </row>
    <row r="29" customFormat="false" ht="45.75" hidden="false" customHeight="true" outlineLevel="0" collapsed="false">
      <c r="A29" s="12" t="n">
        <v>15</v>
      </c>
      <c r="B29" s="12" t="n">
        <v>1</v>
      </c>
      <c r="C29" s="13" t="s">
        <v>47</v>
      </c>
      <c r="D29" s="12" t="s">
        <v>33</v>
      </c>
      <c r="E29" s="14" t="n">
        <v>100</v>
      </c>
      <c r="F29" s="15" t="n">
        <v>63.75</v>
      </c>
      <c r="G29" s="15" t="n">
        <f aca="false">IF(F29="","",E29*F29)</f>
        <v>6375</v>
      </c>
      <c r="H29" s="16"/>
      <c r="I29" s="15" t="str">
        <f aca="false">IF(H29="","",E29*H29)</f>
        <v/>
      </c>
      <c r="J29" s="17" t="str">
        <f aca="false">IF(OR(H29="",F29=""),"",H29/F29)</f>
        <v/>
      </c>
      <c r="K29" s="18"/>
    </row>
    <row r="30" customFormat="false" ht="45.75" hidden="false" customHeight="true" outlineLevel="0" collapsed="false">
      <c r="A30" s="12" t="n">
        <v>16</v>
      </c>
      <c r="B30" s="12" t="n">
        <v>1</v>
      </c>
      <c r="C30" s="13" t="s">
        <v>48</v>
      </c>
      <c r="D30" s="12" t="s">
        <v>33</v>
      </c>
      <c r="E30" s="14" t="n">
        <v>60</v>
      </c>
      <c r="F30" s="15" t="n">
        <v>76.01</v>
      </c>
      <c r="G30" s="15" t="n">
        <f aca="false">IF(F30="","",E30*F30)</f>
        <v>4560.6</v>
      </c>
      <c r="H30" s="16"/>
      <c r="I30" s="15" t="str">
        <f aca="false">IF(H30="","",E30*H30)</f>
        <v/>
      </c>
      <c r="J30" s="17" t="str">
        <f aca="false">IF(OR(H30="",F30=""),"",H30/F30)</f>
        <v/>
      </c>
      <c r="K30" s="18"/>
    </row>
    <row r="31" customFormat="false" ht="73.5" hidden="false" customHeight="true" outlineLevel="0" collapsed="false">
      <c r="A31" s="12" t="n">
        <v>17</v>
      </c>
      <c r="B31" s="12" t="n">
        <v>1</v>
      </c>
      <c r="C31" s="13" t="s">
        <v>49</v>
      </c>
      <c r="D31" s="12" t="s">
        <v>33</v>
      </c>
      <c r="E31" s="14" t="n">
        <v>20</v>
      </c>
      <c r="F31" s="15" t="n">
        <v>68.53</v>
      </c>
      <c r="G31" s="15" t="n">
        <f aca="false">IF(F31="","",E31*F31)</f>
        <v>1370.6</v>
      </c>
      <c r="H31" s="16"/>
      <c r="I31" s="15" t="str">
        <f aca="false">IF(H31="","",E31*H31)</f>
        <v/>
      </c>
      <c r="J31" s="17" t="str">
        <f aca="false">IF(OR(H31="",F31=""),"",H31/F31)</f>
        <v/>
      </c>
      <c r="K31" s="18"/>
    </row>
    <row r="32" customFormat="false" ht="45.75" hidden="false" customHeight="true" outlineLevel="0" collapsed="false">
      <c r="A32" s="12" t="n">
        <v>18</v>
      </c>
      <c r="B32" s="12" t="n">
        <v>1</v>
      </c>
      <c r="C32" s="13" t="s">
        <v>50</v>
      </c>
      <c r="D32" s="12" t="s">
        <v>33</v>
      </c>
      <c r="E32" s="14" t="n">
        <v>50</v>
      </c>
      <c r="F32" s="15" t="n">
        <v>49.97</v>
      </c>
      <c r="G32" s="15" t="n">
        <f aca="false">IF(F32="","",E32*F32)</f>
        <v>2498.5</v>
      </c>
      <c r="H32" s="16"/>
      <c r="I32" s="15" t="str">
        <f aca="false">IF(H32="","",E32*H32)</f>
        <v/>
      </c>
      <c r="J32" s="17" t="str">
        <f aca="false">IF(OR(H32="",F32=""),"",H32/F32)</f>
        <v/>
      </c>
      <c r="K32" s="18"/>
    </row>
    <row r="33" customFormat="false" ht="60" hidden="false" customHeight="true" outlineLevel="0" collapsed="false">
      <c r="A33" s="12" t="n">
        <v>19</v>
      </c>
      <c r="B33" s="12" t="n">
        <v>1</v>
      </c>
      <c r="C33" s="13" t="s">
        <v>51</v>
      </c>
      <c r="D33" s="12" t="s">
        <v>33</v>
      </c>
      <c r="E33" s="14" t="n">
        <v>200</v>
      </c>
      <c r="F33" s="15" t="n">
        <v>50.58</v>
      </c>
      <c r="G33" s="15" t="n">
        <f aca="false">IF(F33="","",E33*F33)</f>
        <v>10116</v>
      </c>
      <c r="H33" s="16"/>
      <c r="I33" s="15" t="str">
        <f aca="false">IF(H33="","",E33*H33)</f>
        <v/>
      </c>
      <c r="J33" s="17" t="str">
        <f aca="false">IF(OR(H33="",F33=""),"",H33/F33)</f>
        <v/>
      </c>
      <c r="K33" s="18"/>
    </row>
    <row r="34" customFormat="false" ht="60" hidden="false" customHeight="true" outlineLevel="0" collapsed="false">
      <c r="A34" s="12" t="n">
        <v>20</v>
      </c>
      <c r="B34" s="12" t="n">
        <v>1</v>
      </c>
      <c r="C34" s="13" t="s">
        <v>52</v>
      </c>
      <c r="D34" s="12" t="s">
        <v>33</v>
      </c>
      <c r="E34" s="14" t="n">
        <v>50</v>
      </c>
      <c r="F34" s="15" t="n">
        <v>135.14</v>
      </c>
      <c r="G34" s="15" t="n">
        <f aca="false">IF(F34="","",E34*F34)</f>
        <v>6757</v>
      </c>
      <c r="H34" s="16"/>
      <c r="I34" s="15" t="str">
        <f aca="false">IF(H34="","",E34*H34)</f>
        <v/>
      </c>
      <c r="J34" s="17" t="str">
        <f aca="false">IF(OR(H34="",F34=""),"",H34/F34)</f>
        <v/>
      </c>
      <c r="K34" s="18"/>
    </row>
    <row r="35" customFormat="false" ht="60" hidden="false" customHeight="true" outlineLevel="0" collapsed="false">
      <c r="A35" s="12" t="n">
        <v>21</v>
      </c>
      <c r="B35" s="12" t="n">
        <v>1</v>
      </c>
      <c r="C35" s="13" t="s">
        <v>53</v>
      </c>
      <c r="D35" s="12" t="s">
        <v>33</v>
      </c>
      <c r="E35" s="14" t="n">
        <v>1000</v>
      </c>
      <c r="F35" s="15" t="n">
        <v>24</v>
      </c>
      <c r="G35" s="15" t="n">
        <f aca="false">IF(F35="","",E35*F35)</f>
        <v>24000</v>
      </c>
      <c r="H35" s="16"/>
      <c r="I35" s="15" t="str">
        <f aca="false">IF(H35="","",E35*H35)</f>
        <v/>
      </c>
      <c r="J35" s="17" t="str">
        <f aca="false">IF(OR(H35="",F35=""),"",H35/F35)</f>
        <v/>
      </c>
      <c r="K35" s="18"/>
    </row>
    <row r="36" customFormat="false" ht="60" hidden="false" customHeight="true" outlineLevel="0" collapsed="false">
      <c r="A36" s="12" t="n">
        <v>22</v>
      </c>
      <c r="B36" s="12" t="n">
        <v>1</v>
      </c>
      <c r="C36" s="13" t="s">
        <v>54</v>
      </c>
      <c r="D36" s="12" t="s">
        <v>33</v>
      </c>
      <c r="E36" s="14" t="n">
        <v>4204</v>
      </c>
      <c r="F36" s="15" t="n">
        <v>24</v>
      </c>
      <c r="G36" s="15" t="n">
        <f aca="false">IF(F36="","",E36*F36)</f>
        <v>100896</v>
      </c>
      <c r="H36" s="16"/>
      <c r="I36" s="15" t="str">
        <f aca="false">IF(H36="","",E36*H36)</f>
        <v/>
      </c>
      <c r="J36" s="17" t="str">
        <f aca="false">IF(OR(H36="",F36=""),"",H36/F36)</f>
        <v/>
      </c>
      <c r="K36" s="18"/>
    </row>
    <row r="37" customFormat="false" ht="45.75" hidden="false" customHeight="true" outlineLevel="0" collapsed="false">
      <c r="A37" s="12" t="n">
        <v>23</v>
      </c>
      <c r="B37" s="12" t="n">
        <v>1</v>
      </c>
      <c r="C37" s="13" t="s">
        <v>55</v>
      </c>
      <c r="D37" s="12" t="s">
        <v>33</v>
      </c>
      <c r="E37" s="14" t="n">
        <v>750</v>
      </c>
      <c r="F37" s="15" t="n">
        <v>27.5</v>
      </c>
      <c r="G37" s="15" t="n">
        <f aca="false">IF(F37="","",E37*F37)</f>
        <v>20625</v>
      </c>
      <c r="H37" s="16"/>
      <c r="I37" s="15" t="str">
        <f aca="false">IF(H37="","",E37*H37)</f>
        <v/>
      </c>
      <c r="J37" s="17" t="str">
        <f aca="false">IF(OR(H37="",F37=""),"",H37/F37)</f>
        <v/>
      </c>
      <c r="K37" s="18"/>
    </row>
    <row r="38" customFormat="false" ht="45.75" hidden="false" customHeight="true" outlineLevel="0" collapsed="false">
      <c r="A38" s="12" t="n">
        <v>24</v>
      </c>
      <c r="B38" s="12" t="n">
        <v>1</v>
      </c>
      <c r="C38" s="13" t="s">
        <v>56</v>
      </c>
      <c r="D38" s="12" t="s">
        <v>33</v>
      </c>
      <c r="E38" s="14" t="n">
        <v>670</v>
      </c>
      <c r="F38" s="15" t="n">
        <v>25.82</v>
      </c>
      <c r="G38" s="15" t="n">
        <f aca="false">IF(F38="","",E38*F38)</f>
        <v>17299.4</v>
      </c>
      <c r="H38" s="16"/>
      <c r="I38" s="15" t="str">
        <f aca="false">IF(H38="","",E38*H38)</f>
        <v/>
      </c>
      <c r="J38" s="17" t="str">
        <f aca="false">IF(OR(H38="",F38=""),"",H38/F38)</f>
        <v/>
      </c>
      <c r="K38" s="18"/>
    </row>
    <row r="39" customFormat="false" ht="60" hidden="false" customHeight="true" outlineLevel="0" collapsed="false">
      <c r="A39" s="12" t="n">
        <v>25</v>
      </c>
      <c r="B39" s="12" t="n">
        <v>1</v>
      </c>
      <c r="C39" s="13" t="s">
        <v>57</v>
      </c>
      <c r="D39" s="12" t="s">
        <v>33</v>
      </c>
      <c r="E39" s="14" t="n">
        <v>22</v>
      </c>
      <c r="F39" s="15" t="n">
        <v>60.68</v>
      </c>
      <c r="G39" s="15" t="n">
        <f aca="false">IF(F39="","",E39*F39)</f>
        <v>1334.96</v>
      </c>
      <c r="H39" s="16"/>
      <c r="I39" s="15" t="str">
        <f aca="false">IF(H39="","",E39*H39)</f>
        <v/>
      </c>
      <c r="J39" s="17" t="str">
        <f aca="false">IF(OR(H39="",F39=""),"",H39/F39)</f>
        <v/>
      </c>
      <c r="K39" s="18"/>
    </row>
    <row r="40" customFormat="false" ht="60" hidden="false" customHeight="true" outlineLevel="0" collapsed="false">
      <c r="A40" s="12" t="n">
        <v>26</v>
      </c>
      <c r="B40" s="12" t="n">
        <v>1</v>
      </c>
      <c r="C40" s="13" t="s">
        <v>58</v>
      </c>
      <c r="D40" s="12" t="s">
        <v>33</v>
      </c>
      <c r="E40" s="14" t="n">
        <v>80</v>
      </c>
      <c r="F40" s="15" t="n">
        <v>52.31</v>
      </c>
      <c r="G40" s="15" t="n">
        <f aca="false">IF(F40="","",E40*F40)</f>
        <v>4184.8</v>
      </c>
      <c r="H40" s="16"/>
      <c r="I40" s="15" t="str">
        <f aca="false">IF(H40="","",E40*H40)</f>
        <v/>
      </c>
      <c r="J40" s="17" t="str">
        <f aca="false">IF(OR(H40="",F40=""),"",H40/F40)</f>
        <v/>
      </c>
      <c r="K40" s="18"/>
    </row>
    <row r="41" customFormat="false" ht="60" hidden="false" customHeight="true" outlineLevel="0" collapsed="false">
      <c r="A41" s="12" t="n">
        <v>27</v>
      </c>
      <c r="B41" s="12" t="n">
        <v>1</v>
      </c>
      <c r="C41" s="13" t="s">
        <v>59</v>
      </c>
      <c r="D41" s="12" t="s">
        <v>33</v>
      </c>
      <c r="E41" s="14" t="n">
        <v>828</v>
      </c>
      <c r="F41" s="15" t="n">
        <v>48.6</v>
      </c>
      <c r="G41" s="15" t="n">
        <f aca="false">IF(F41="","",E41*F41)</f>
        <v>40240.8</v>
      </c>
      <c r="H41" s="16"/>
      <c r="I41" s="15" t="str">
        <f aca="false">IF(H41="","",E41*H41)</f>
        <v/>
      </c>
      <c r="J41" s="17" t="str">
        <f aca="false">IF(OR(H41="",F41=""),"",H41/F41)</f>
        <v/>
      </c>
      <c r="K41" s="18"/>
    </row>
    <row r="42" customFormat="false" ht="60" hidden="false" customHeight="true" outlineLevel="0" collapsed="false">
      <c r="A42" s="12" t="n">
        <v>28</v>
      </c>
      <c r="B42" s="12" t="n">
        <v>1</v>
      </c>
      <c r="C42" s="13" t="s">
        <v>60</v>
      </c>
      <c r="D42" s="12" t="s">
        <v>33</v>
      </c>
      <c r="E42" s="14" t="n">
        <v>100</v>
      </c>
      <c r="F42" s="15" t="n">
        <v>50.42</v>
      </c>
      <c r="G42" s="15" t="n">
        <f aca="false">IF(F42="","",E42*F42)</f>
        <v>5042</v>
      </c>
      <c r="H42" s="16"/>
      <c r="I42" s="15" t="str">
        <f aca="false">IF(H42="","",E42*H42)</f>
        <v/>
      </c>
      <c r="J42" s="17" t="str">
        <f aca="false">IF(OR(H42="",F42=""),"",H42/F42)</f>
        <v/>
      </c>
      <c r="K42" s="18"/>
    </row>
    <row r="43" customFormat="false" ht="60" hidden="false" customHeight="true" outlineLevel="0" collapsed="false">
      <c r="A43" s="12" t="n">
        <v>29</v>
      </c>
      <c r="B43" s="12" t="n">
        <v>1</v>
      </c>
      <c r="C43" s="13" t="s">
        <v>61</v>
      </c>
      <c r="D43" s="12" t="s">
        <v>33</v>
      </c>
      <c r="E43" s="14" t="n">
        <v>450</v>
      </c>
      <c r="F43" s="15" t="n">
        <v>25.28</v>
      </c>
      <c r="G43" s="15" t="n">
        <f aca="false">IF(F43="","",E43*F43)</f>
        <v>11376</v>
      </c>
      <c r="H43" s="16"/>
      <c r="I43" s="15" t="str">
        <f aca="false">IF(H43="","",E43*H43)</f>
        <v/>
      </c>
      <c r="J43" s="17" t="str">
        <f aca="false">IF(OR(H43="",F43=""),"",H43/F43)</f>
        <v/>
      </c>
      <c r="K43" s="18"/>
    </row>
    <row r="44" customFormat="false" ht="45.75" hidden="false" customHeight="true" outlineLevel="0" collapsed="false">
      <c r="A44" s="12" t="n">
        <v>30</v>
      </c>
      <c r="B44" s="12" t="n">
        <v>1</v>
      </c>
      <c r="C44" s="13" t="s">
        <v>62</v>
      </c>
      <c r="D44" s="12" t="s">
        <v>33</v>
      </c>
      <c r="E44" s="14" t="n">
        <v>1000</v>
      </c>
      <c r="F44" s="15" t="n">
        <v>21.68</v>
      </c>
      <c r="G44" s="15" t="n">
        <f aca="false">IF(F44="","",E44*F44)</f>
        <v>21680</v>
      </c>
      <c r="H44" s="16"/>
      <c r="I44" s="15" t="str">
        <f aca="false">IF(H44="","",E44*H44)</f>
        <v/>
      </c>
      <c r="J44" s="17" t="str">
        <f aca="false">IF(OR(H44="",F44=""),"",H44/F44)</f>
        <v/>
      </c>
      <c r="K44" s="18"/>
    </row>
    <row r="45" customFormat="false" ht="45.75" hidden="false" customHeight="true" outlineLevel="0" collapsed="false">
      <c r="A45" s="12" t="n">
        <v>31</v>
      </c>
      <c r="B45" s="12" t="n">
        <v>1</v>
      </c>
      <c r="C45" s="13" t="s">
        <v>63</v>
      </c>
      <c r="D45" s="12" t="s">
        <v>33</v>
      </c>
      <c r="E45" s="14" t="n">
        <v>400</v>
      </c>
      <c r="F45" s="15" t="n">
        <v>21.93</v>
      </c>
      <c r="G45" s="15" t="n">
        <f aca="false">IF(F45="","",E45*F45)</f>
        <v>8772</v>
      </c>
      <c r="H45" s="16"/>
      <c r="I45" s="15" t="str">
        <f aca="false">IF(H45="","",E45*H45)</f>
        <v/>
      </c>
      <c r="J45" s="17" t="str">
        <f aca="false">IF(OR(H45="",F45=""),"",H45/F45)</f>
        <v/>
      </c>
      <c r="K45" s="18"/>
    </row>
    <row r="46" customFormat="false" ht="45.75" hidden="false" customHeight="true" outlineLevel="0" collapsed="false">
      <c r="A46" s="12" t="n">
        <v>32</v>
      </c>
      <c r="B46" s="12" t="n">
        <v>1</v>
      </c>
      <c r="C46" s="13" t="s">
        <v>64</v>
      </c>
      <c r="D46" s="12" t="s">
        <v>33</v>
      </c>
      <c r="E46" s="14" t="n">
        <v>2250</v>
      </c>
      <c r="F46" s="15" t="n">
        <v>22.18</v>
      </c>
      <c r="G46" s="15" t="n">
        <f aca="false">IF(F46="","",E46*F46)</f>
        <v>49905</v>
      </c>
      <c r="H46" s="16"/>
      <c r="I46" s="15" t="str">
        <f aca="false">IF(H46="","",E46*H46)</f>
        <v/>
      </c>
      <c r="J46" s="17" t="str">
        <f aca="false">IF(OR(H46="",F46=""),"",H46/F46)</f>
        <v/>
      </c>
      <c r="K46" s="18"/>
    </row>
    <row r="47" customFormat="false" ht="73.5" hidden="false" customHeight="true" outlineLevel="0" collapsed="false">
      <c r="A47" s="12" t="n">
        <v>33</v>
      </c>
      <c r="B47" s="12" t="n">
        <v>1</v>
      </c>
      <c r="C47" s="13" t="s">
        <v>65</v>
      </c>
      <c r="D47" s="12" t="s">
        <v>33</v>
      </c>
      <c r="E47" s="14" t="n">
        <v>2020</v>
      </c>
      <c r="F47" s="15" t="n">
        <v>44.94</v>
      </c>
      <c r="G47" s="15" t="n">
        <f aca="false">IF(F47="","",E47*F47)</f>
        <v>90778.8</v>
      </c>
      <c r="H47" s="16"/>
      <c r="I47" s="15" t="str">
        <f aca="false">IF(H47="","",E47*H47)</f>
        <v/>
      </c>
      <c r="J47" s="17" t="str">
        <f aca="false">IF(OR(H47="",F47=""),"",H47/F47)</f>
        <v/>
      </c>
      <c r="K47" s="18"/>
    </row>
    <row r="48" customFormat="false" ht="60" hidden="false" customHeight="true" outlineLevel="0" collapsed="false">
      <c r="A48" s="12" t="n">
        <v>34</v>
      </c>
      <c r="B48" s="12" t="n">
        <v>1</v>
      </c>
      <c r="C48" s="13" t="s">
        <v>66</v>
      </c>
      <c r="D48" s="12" t="s">
        <v>33</v>
      </c>
      <c r="E48" s="14" t="n">
        <v>460</v>
      </c>
      <c r="F48" s="15" t="n">
        <v>37.63</v>
      </c>
      <c r="G48" s="15" t="n">
        <f aca="false">IF(F48="","",E48*F48)</f>
        <v>17309.8</v>
      </c>
      <c r="H48" s="16"/>
      <c r="I48" s="15" t="str">
        <f aca="false">IF(H48="","",E48*H48)</f>
        <v/>
      </c>
      <c r="J48" s="17" t="str">
        <f aca="false">IF(OR(H48="",F48=""),"",H48/F48)</f>
        <v/>
      </c>
      <c r="K48" s="18"/>
    </row>
    <row r="49" customFormat="false" ht="60" hidden="false" customHeight="true" outlineLevel="0" collapsed="false">
      <c r="A49" s="12" t="n">
        <v>35</v>
      </c>
      <c r="B49" s="12" t="n">
        <v>1</v>
      </c>
      <c r="C49" s="13" t="s">
        <v>67</v>
      </c>
      <c r="D49" s="12" t="s">
        <v>33</v>
      </c>
      <c r="E49" s="14" t="n">
        <v>180</v>
      </c>
      <c r="F49" s="15" t="n">
        <v>46.84</v>
      </c>
      <c r="G49" s="15" t="n">
        <f aca="false">IF(F49="","",E49*F49)</f>
        <v>8431.2</v>
      </c>
      <c r="H49" s="16"/>
      <c r="I49" s="15" t="str">
        <f aca="false">IF(H49="","",E49*H49)</f>
        <v/>
      </c>
      <c r="J49" s="17" t="str">
        <f aca="false">IF(OR(H49="",F49=""),"",H49/F49)</f>
        <v/>
      </c>
      <c r="K49" s="18"/>
    </row>
    <row r="50" customFormat="false" ht="60" hidden="false" customHeight="true" outlineLevel="0" collapsed="false">
      <c r="A50" s="12" t="n">
        <v>36</v>
      </c>
      <c r="B50" s="12" t="n">
        <v>1</v>
      </c>
      <c r="C50" s="13" t="s">
        <v>68</v>
      </c>
      <c r="D50" s="12" t="s">
        <v>33</v>
      </c>
      <c r="E50" s="14" t="n">
        <v>530</v>
      </c>
      <c r="F50" s="15" t="n">
        <v>36.52</v>
      </c>
      <c r="G50" s="15" t="n">
        <f aca="false">IF(F50="","",E50*F50)</f>
        <v>19355.6</v>
      </c>
      <c r="H50" s="16"/>
      <c r="I50" s="15" t="str">
        <f aca="false">IF(H50="","",E50*H50)</f>
        <v/>
      </c>
      <c r="J50" s="17" t="str">
        <f aca="false">IF(OR(H50="",F50=""),"",H50/F50)</f>
        <v/>
      </c>
      <c r="K50" s="18"/>
    </row>
    <row r="51" customFormat="false" ht="60" hidden="false" customHeight="true" outlineLevel="0" collapsed="false">
      <c r="A51" s="12" t="n">
        <v>37</v>
      </c>
      <c r="B51" s="12" t="n">
        <v>1</v>
      </c>
      <c r="C51" s="13" t="s">
        <v>69</v>
      </c>
      <c r="D51" s="12" t="s">
        <v>33</v>
      </c>
      <c r="E51" s="14" t="n">
        <v>345</v>
      </c>
      <c r="F51" s="15" t="n">
        <v>48.43</v>
      </c>
      <c r="G51" s="15" t="n">
        <f aca="false">IF(F51="","",E51*F51)</f>
        <v>16708.35</v>
      </c>
      <c r="H51" s="16"/>
      <c r="I51" s="15" t="str">
        <f aca="false">IF(H51="","",E51*H51)</f>
        <v/>
      </c>
      <c r="J51" s="17" t="str">
        <f aca="false">IF(OR(H51="",F51=""),"",H51/F51)</f>
        <v/>
      </c>
      <c r="K51" s="18"/>
    </row>
    <row r="52" customFormat="false" ht="60" hidden="false" customHeight="true" outlineLevel="0" collapsed="false">
      <c r="A52" s="12" t="n">
        <v>38</v>
      </c>
      <c r="B52" s="12" t="n">
        <v>1</v>
      </c>
      <c r="C52" s="13" t="s">
        <v>70</v>
      </c>
      <c r="D52" s="12" t="s">
        <v>33</v>
      </c>
      <c r="E52" s="14" t="n">
        <v>185</v>
      </c>
      <c r="F52" s="15" t="n">
        <v>27.85</v>
      </c>
      <c r="G52" s="15" t="n">
        <f aca="false">IF(F52="","",E52*F52)</f>
        <v>5152.25</v>
      </c>
      <c r="H52" s="16"/>
      <c r="I52" s="15" t="str">
        <f aca="false">IF(H52="","",E52*H52)</f>
        <v/>
      </c>
      <c r="J52" s="17" t="str">
        <f aca="false">IF(OR(H52="",F52=""),"",H52/F52)</f>
        <v/>
      </c>
      <c r="K52" s="18"/>
    </row>
    <row r="53" customFormat="false" ht="60" hidden="false" customHeight="true" outlineLevel="0" collapsed="false">
      <c r="A53" s="12" t="n">
        <v>39</v>
      </c>
      <c r="B53" s="12" t="n">
        <v>1</v>
      </c>
      <c r="C53" s="13" t="s">
        <v>71</v>
      </c>
      <c r="D53" s="12" t="s">
        <v>33</v>
      </c>
      <c r="E53" s="14" t="n">
        <v>265</v>
      </c>
      <c r="F53" s="15" t="n">
        <v>27.85</v>
      </c>
      <c r="G53" s="15" t="n">
        <f aca="false">IF(F53="","",E53*F53)</f>
        <v>7380.25</v>
      </c>
      <c r="H53" s="16"/>
      <c r="I53" s="15" t="str">
        <f aca="false">IF(H53="","",E53*H53)</f>
        <v/>
      </c>
      <c r="J53" s="17" t="str">
        <f aca="false">IF(OR(H53="",F53=""),"",H53/F53)</f>
        <v/>
      </c>
      <c r="K53" s="18"/>
    </row>
    <row r="54" customFormat="false" ht="60" hidden="false" customHeight="true" outlineLevel="0" collapsed="false">
      <c r="A54" s="12" t="n">
        <v>40</v>
      </c>
      <c r="B54" s="12" t="n">
        <v>1</v>
      </c>
      <c r="C54" s="13" t="s">
        <v>72</v>
      </c>
      <c r="D54" s="12" t="s">
        <v>33</v>
      </c>
      <c r="E54" s="14" t="n">
        <v>50</v>
      </c>
      <c r="F54" s="15" t="n">
        <v>40.39</v>
      </c>
      <c r="G54" s="15" t="n">
        <f aca="false">IF(F54="","",E54*F54)</f>
        <v>2019.5</v>
      </c>
      <c r="H54" s="16"/>
      <c r="I54" s="15" t="str">
        <f aca="false">IF(H54="","",E54*H54)</f>
        <v/>
      </c>
      <c r="J54" s="17" t="str">
        <f aca="false">IF(OR(H54="",F54=""),"",H54/F54)</f>
        <v/>
      </c>
      <c r="K54" s="18"/>
    </row>
    <row r="55" customFormat="false" ht="60" hidden="false" customHeight="true" outlineLevel="0" collapsed="false">
      <c r="A55" s="12" t="n">
        <v>41</v>
      </c>
      <c r="B55" s="12" t="n">
        <v>1</v>
      </c>
      <c r="C55" s="13" t="s">
        <v>73</v>
      </c>
      <c r="D55" s="12" t="s">
        <v>33</v>
      </c>
      <c r="E55" s="14" t="n">
        <v>2545</v>
      </c>
      <c r="F55" s="15" t="n">
        <v>23.37</v>
      </c>
      <c r="G55" s="15" t="n">
        <f aca="false">IF(F55="","",E55*F55)</f>
        <v>59476.65</v>
      </c>
      <c r="H55" s="16"/>
      <c r="I55" s="15" t="str">
        <f aca="false">IF(H55="","",E55*H55)</f>
        <v/>
      </c>
      <c r="J55" s="17" t="str">
        <f aca="false">IF(OR(H55="",F55=""),"",H55/F55)</f>
        <v/>
      </c>
      <c r="K55" s="18"/>
    </row>
    <row r="56" customFormat="false" ht="60" hidden="false" customHeight="true" outlineLevel="0" collapsed="false">
      <c r="A56" s="12" t="n">
        <v>42</v>
      </c>
      <c r="B56" s="12" t="n">
        <v>1</v>
      </c>
      <c r="C56" s="13" t="s">
        <v>74</v>
      </c>
      <c r="D56" s="12" t="s">
        <v>33</v>
      </c>
      <c r="E56" s="14" t="n">
        <v>21</v>
      </c>
      <c r="F56" s="15" t="n">
        <v>27.17</v>
      </c>
      <c r="G56" s="15" t="n">
        <f aca="false">IF(F56="","",E56*F56)</f>
        <v>570.57</v>
      </c>
      <c r="H56" s="16"/>
      <c r="I56" s="15" t="str">
        <f aca="false">IF(H56="","",E56*H56)</f>
        <v/>
      </c>
      <c r="J56" s="17" t="str">
        <f aca="false">IF(OR(H56="",F56=""),"",H56/F56)</f>
        <v/>
      </c>
      <c r="K56" s="18"/>
    </row>
    <row r="57" customFormat="false" ht="45.75" hidden="false" customHeight="true" outlineLevel="0" collapsed="false">
      <c r="A57" s="12" t="n">
        <v>43</v>
      </c>
      <c r="B57" s="12" t="n">
        <v>1</v>
      </c>
      <c r="C57" s="13" t="s">
        <v>75</v>
      </c>
      <c r="D57" s="12" t="s">
        <v>33</v>
      </c>
      <c r="E57" s="14" t="n">
        <v>20</v>
      </c>
      <c r="F57" s="15" t="n">
        <v>28.67</v>
      </c>
      <c r="G57" s="15" t="n">
        <f aca="false">IF(F57="","",E57*F57)</f>
        <v>573.4</v>
      </c>
      <c r="H57" s="16"/>
      <c r="I57" s="15" t="str">
        <f aca="false">IF(H57="","",E57*H57)</f>
        <v/>
      </c>
      <c r="J57" s="17" t="str">
        <f aca="false">IF(OR(H57="",F57=""),"",H57/F57)</f>
        <v/>
      </c>
      <c r="K57" s="18"/>
    </row>
    <row r="58" customFormat="false" ht="45.75" hidden="false" customHeight="true" outlineLevel="0" collapsed="false">
      <c r="A58" s="12" t="n">
        <v>44</v>
      </c>
      <c r="B58" s="12" t="n">
        <v>1</v>
      </c>
      <c r="C58" s="13" t="s">
        <v>76</v>
      </c>
      <c r="D58" s="12" t="s">
        <v>33</v>
      </c>
      <c r="E58" s="14" t="n">
        <v>20</v>
      </c>
      <c r="F58" s="15" t="n">
        <v>23.41</v>
      </c>
      <c r="G58" s="15" t="n">
        <f aca="false">IF(F58="","",E58*F58)</f>
        <v>468.2</v>
      </c>
      <c r="H58" s="16"/>
      <c r="I58" s="15" t="str">
        <f aca="false">IF(H58="","",E58*H58)</f>
        <v/>
      </c>
      <c r="J58" s="17" t="str">
        <f aca="false">IF(OR(H58="",F58=""),"",H58/F58)</f>
        <v/>
      </c>
      <c r="K58" s="18"/>
    </row>
    <row r="59" customFormat="false" ht="73.5" hidden="false" customHeight="true" outlineLevel="0" collapsed="false">
      <c r="A59" s="12" t="n">
        <v>45</v>
      </c>
      <c r="B59" s="12" t="n">
        <v>1</v>
      </c>
      <c r="C59" s="13" t="s">
        <v>77</v>
      </c>
      <c r="D59" s="12" t="s">
        <v>33</v>
      </c>
      <c r="E59" s="14" t="n">
        <v>240</v>
      </c>
      <c r="F59" s="15" t="n">
        <v>57.41</v>
      </c>
      <c r="G59" s="15" t="n">
        <f aca="false">IF(F59="","",E59*F59)</f>
        <v>13778.4</v>
      </c>
      <c r="H59" s="16"/>
      <c r="I59" s="15" t="str">
        <f aca="false">IF(H59="","",E59*H59)</f>
        <v/>
      </c>
      <c r="J59" s="17" t="str">
        <f aca="false">IF(OR(H59="",F59=""),"",H59/F59)</f>
        <v/>
      </c>
      <c r="K59" s="18"/>
    </row>
    <row r="60" customFormat="false" ht="73.5" hidden="false" customHeight="true" outlineLevel="0" collapsed="false">
      <c r="A60" s="12" t="n">
        <v>46</v>
      </c>
      <c r="B60" s="12" t="n">
        <v>1</v>
      </c>
      <c r="C60" s="13" t="s">
        <v>78</v>
      </c>
      <c r="D60" s="12" t="s">
        <v>33</v>
      </c>
      <c r="E60" s="14" t="n">
        <v>150</v>
      </c>
      <c r="F60" s="15" t="n">
        <v>53.75</v>
      </c>
      <c r="G60" s="15" t="n">
        <f aca="false">IF(F60="","",E60*F60)</f>
        <v>8062.5</v>
      </c>
      <c r="H60" s="16"/>
      <c r="I60" s="15" t="str">
        <f aca="false">IF(H60="","",E60*H60)</f>
        <v/>
      </c>
      <c r="J60" s="17" t="str">
        <f aca="false">IF(OR(H60="",F60=""),"",H60/F60)</f>
        <v/>
      </c>
      <c r="K60" s="18"/>
    </row>
    <row r="61" customFormat="false" ht="60" hidden="false" customHeight="true" outlineLevel="0" collapsed="false">
      <c r="A61" s="12" t="n">
        <v>47</v>
      </c>
      <c r="B61" s="12" t="n">
        <v>1</v>
      </c>
      <c r="C61" s="13" t="s">
        <v>79</v>
      </c>
      <c r="D61" s="12" t="s">
        <v>33</v>
      </c>
      <c r="E61" s="14" t="n">
        <v>54</v>
      </c>
      <c r="F61" s="15" t="n">
        <v>57.67</v>
      </c>
      <c r="G61" s="15" t="n">
        <f aca="false">IF(F61="","",E61*F61)</f>
        <v>3114.18</v>
      </c>
      <c r="H61" s="16"/>
      <c r="I61" s="15" t="str">
        <f aca="false">IF(H61="","",E61*H61)</f>
        <v/>
      </c>
      <c r="J61" s="17" t="str">
        <f aca="false">IF(OR(H61="",F61=""),"",H61/F61)</f>
        <v/>
      </c>
      <c r="K61" s="18"/>
    </row>
    <row r="62" customFormat="false" ht="60" hidden="false" customHeight="true" outlineLevel="0" collapsed="false">
      <c r="A62" s="12" t="n">
        <v>48</v>
      </c>
      <c r="B62" s="12" t="n">
        <v>1</v>
      </c>
      <c r="C62" s="13" t="s">
        <v>80</v>
      </c>
      <c r="D62" s="12" t="s">
        <v>33</v>
      </c>
      <c r="E62" s="14" t="n">
        <v>120</v>
      </c>
      <c r="F62" s="15" t="n">
        <v>51.26</v>
      </c>
      <c r="G62" s="15" t="n">
        <f aca="false">IF(F62="","",E62*F62)</f>
        <v>6151.2</v>
      </c>
      <c r="H62" s="16"/>
      <c r="I62" s="15" t="str">
        <f aca="false">IF(H62="","",E62*H62)</f>
        <v/>
      </c>
      <c r="J62" s="17" t="str">
        <f aca="false">IF(OR(H62="",F62=""),"",H62/F62)</f>
        <v/>
      </c>
      <c r="K62" s="18"/>
    </row>
    <row r="63" customFormat="false" ht="73.5" hidden="false" customHeight="true" outlineLevel="0" collapsed="false">
      <c r="A63" s="12" t="n">
        <v>49</v>
      </c>
      <c r="B63" s="12" t="n">
        <v>1</v>
      </c>
      <c r="C63" s="13" t="s">
        <v>81</v>
      </c>
      <c r="D63" s="12" t="s">
        <v>33</v>
      </c>
      <c r="E63" s="14" t="n">
        <v>50</v>
      </c>
      <c r="F63" s="15" t="n">
        <v>53.93</v>
      </c>
      <c r="G63" s="15" t="n">
        <f aca="false">IF(F63="","",E63*F63)</f>
        <v>2696.5</v>
      </c>
      <c r="H63" s="16"/>
      <c r="I63" s="15" t="str">
        <f aca="false">IF(H63="","",E63*H63)</f>
        <v/>
      </c>
      <c r="J63" s="17" t="str">
        <f aca="false">IF(OR(H63="",F63=""),"",H63/F63)</f>
        <v/>
      </c>
      <c r="K63" s="18"/>
    </row>
    <row r="64" customFormat="false" ht="73.5" hidden="false" customHeight="true" outlineLevel="0" collapsed="false">
      <c r="A64" s="12" t="n">
        <v>50</v>
      </c>
      <c r="B64" s="12" t="n">
        <v>1</v>
      </c>
      <c r="C64" s="13" t="s">
        <v>82</v>
      </c>
      <c r="D64" s="12" t="s">
        <v>33</v>
      </c>
      <c r="E64" s="14" t="n">
        <v>98</v>
      </c>
      <c r="F64" s="15" t="n">
        <v>65.36</v>
      </c>
      <c r="G64" s="15" t="n">
        <f aca="false">IF(F64="","",E64*F64)</f>
        <v>6405.28</v>
      </c>
      <c r="H64" s="16"/>
      <c r="I64" s="15" t="str">
        <f aca="false">IF(H64="","",E64*H64)</f>
        <v/>
      </c>
      <c r="J64" s="17" t="str">
        <f aca="false">IF(OR(H64="",F64=""),"",H64/F64)</f>
        <v/>
      </c>
      <c r="K64" s="18"/>
    </row>
    <row r="65" customFormat="false" ht="60" hidden="false" customHeight="true" outlineLevel="0" collapsed="false">
      <c r="A65" s="12" t="n">
        <v>51</v>
      </c>
      <c r="B65" s="12" t="n">
        <v>1</v>
      </c>
      <c r="C65" s="13" t="s">
        <v>83</v>
      </c>
      <c r="D65" s="12" t="s">
        <v>33</v>
      </c>
      <c r="E65" s="14" t="n">
        <v>870</v>
      </c>
      <c r="F65" s="15" t="n">
        <v>27.08</v>
      </c>
      <c r="G65" s="15" t="n">
        <f aca="false">IF(F65="","",E65*F65)</f>
        <v>23559.6</v>
      </c>
      <c r="H65" s="16"/>
      <c r="I65" s="15" t="str">
        <f aca="false">IF(H65="","",E65*H65)</f>
        <v/>
      </c>
      <c r="J65" s="17" t="str">
        <f aca="false">IF(OR(H65="",F65=""),"",H65/F65)</f>
        <v/>
      </c>
      <c r="K65" s="18"/>
    </row>
    <row r="66" customFormat="false" ht="60" hidden="false" customHeight="true" outlineLevel="0" collapsed="false">
      <c r="A66" s="12" t="n">
        <v>52</v>
      </c>
      <c r="B66" s="12" t="n">
        <v>1</v>
      </c>
      <c r="C66" s="13" t="s">
        <v>84</v>
      </c>
      <c r="D66" s="12" t="s">
        <v>33</v>
      </c>
      <c r="E66" s="14" t="n">
        <v>739</v>
      </c>
      <c r="F66" s="15" t="n">
        <v>29.36</v>
      </c>
      <c r="G66" s="15" t="n">
        <f aca="false">IF(F66="","",E66*F66)</f>
        <v>21697.04</v>
      </c>
      <c r="H66" s="16"/>
      <c r="I66" s="15" t="str">
        <f aca="false">IF(H66="","",E66*H66)</f>
        <v/>
      </c>
      <c r="J66" s="17" t="str">
        <f aca="false">IF(OR(H66="",F66=""),"",H66/F66)</f>
        <v/>
      </c>
      <c r="K66" s="18"/>
    </row>
    <row r="67" customFormat="false" ht="73.5" hidden="false" customHeight="true" outlineLevel="0" collapsed="false">
      <c r="A67" s="12" t="n">
        <v>53</v>
      </c>
      <c r="B67" s="12" t="n">
        <v>1</v>
      </c>
      <c r="C67" s="13" t="s">
        <v>85</v>
      </c>
      <c r="D67" s="12" t="s">
        <v>33</v>
      </c>
      <c r="E67" s="14" t="n">
        <v>150</v>
      </c>
      <c r="F67" s="15" t="n">
        <v>59.3</v>
      </c>
      <c r="G67" s="15" t="n">
        <f aca="false">IF(F67="","",E67*F67)</f>
        <v>8895</v>
      </c>
      <c r="H67" s="16"/>
      <c r="I67" s="15" t="str">
        <f aca="false">IF(H67="","",E67*H67)</f>
        <v/>
      </c>
      <c r="J67" s="17" t="str">
        <f aca="false">IF(OR(H67="",F67=""),"",H67/F67)</f>
        <v/>
      </c>
      <c r="K67" s="18"/>
    </row>
    <row r="68" customFormat="false" ht="60" hidden="false" customHeight="true" outlineLevel="0" collapsed="false">
      <c r="A68" s="12" t="n">
        <v>54</v>
      </c>
      <c r="B68" s="12" t="n">
        <v>1</v>
      </c>
      <c r="C68" s="13" t="s">
        <v>86</v>
      </c>
      <c r="D68" s="12" t="s">
        <v>33</v>
      </c>
      <c r="E68" s="14" t="n">
        <v>170</v>
      </c>
      <c r="F68" s="15" t="n">
        <v>39.67</v>
      </c>
      <c r="G68" s="15" t="n">
        <f aca="false">IF(F68="","",E68*F68)</f>
        <v>6743.9</v>
      </c>
      <c r="H68" s="16"/>
      <c r="I68" s="15" t="str">
        <f aca="false">IF(H68="","",E68*H68)</f>
        <v/>
      </c>
      <c r="J68" s="17" t="str">
        <f aca="false">IF(OR(H68="",F68=""),"",H68/F68)</f>
        <v/>
      </c>
      <c r="K68" s="18"/>
    </row>
    <row r="69" customFormat="false" ht="60" hidden="false" customHeight="true" outlineLevel="0" collapsed="false">
      <c r="A69" s="12" t="n">
        <v>55</v>
      </c>
      <c r="B69" s="12" t="n">
        <v>1</v>
      </c>
      <c r="C69" s="13" t="s">
        <v>87</v>
      </c>
      <c r="D69" s="12" t="s">
        <v>33</v>
      </c>
      <c r="E69" s="14" t="n">
        <v>190</v>
      </c>
      <c r="F69" s="15" t="n">
        <v>39.67</v>
      </c>
      <c r="G69" s="15" t="n">
        <f aca="false">IF(F69="","",E69*F69)</f>
        <v>7537.3</v>
      </c>
      <c r="H69" s="16"/>
      <c r="I69" s="15" t="str">
        <f aca="false">IF(H69="","",E69*H69)</f>
        <v/>
      </c>
      <c r="J69" s="17" t="str">
        <f aca="false">IF(OR(H69="",F69=""),"",H69/F69)</f>
        <v/>
      </c>
      <c r="K69" s="18"/>
    </row>
    <row r="70" customFormat="false" ht="45.75" hidden="false" customHeight="true" outlineLevel="0" collapsed="false">
      <c r="A70" s="12" t="n">
        <v>56</v>
      </c>
      <c r="B70" s="12" t="n">
        <v>1</v>
      </c>
      <c r="C70" s="13" t="s">
        <v>88</v>
      </c>
      <c r="D70" s="12" t="s">
        <v>33</v>
      </c>
      <c r="E70" s="14" t="n">
        <v>150</v>
      </c>
      <c r="F70" s="15" t="n">
        <v>49.25</v>
      </c>
      <c r="G70" s="15" t="n">
        <f aca="false">IF(F70="","",E70*F70)</f>
        <v>7387.5</v>
      </c>
      <c r="H70" s="16"/>
      <c r="I70" s="15" t="str">
        <f aca="false">IF(H70="","",E70*H70)</f>
        <v/>
      </c>
      <c r="J70" s="17" t="str">
        <f aca="false">IF(OR(H70="",F70=""),"",H70/F70)</f>
        <v/>
      </c>
      <c r="K70" s="18"/>
    </row>
    <row r="71" customFormat="false" ht="45.75" hidden="false" customHeight="true" outlineLevel="0" collapsed="false">
      <c r="A71" s="12" t="n">
        <v>57</v>
      </c>
      <c r="B71" s="12" t="n">
        <v>1</v>
      </c>
      <c r="C71" s="13" t="s">
        <v>89</v>
      </c>
      <c r="D71" s="12" t="s">
        <v>33</v>
      </c>
      <c r="E71" s="14" t="n">
        <v>46</v>
      </c>
      <c r="F71" s="15" t="n">
        <v>67.44</v>
      </c>
      <c r="G71" s="15" t="n">
        <f aca="false">IF(F71="","",E71*F71)</f>
        <v>3102.24</v>
      </c>
      <c r="H71" s="16"/>
      <c r="I71" s="15" t="str">
        <f aca="false">IF(H71="","",E71*H71)</f>
        <v/>
      </c>
      <c r="J71" s="17" t="str">
        <f aca="false">IF(OR(H71="",F71=""),"",H71/F71)</f>
        <v/>
      </c>
      <c r="K71" s="18"/>
    </row>
    <row r="72" customFormat="false" ht="73.5" hidden="false" customHeight="true" outlineLevel="0" collapsed="false">
      <c r="A72" s="12" t="n">
        <v>58</v>
      </c>
      <c r="B72" s="12" t="n">
        <v>1</v>
      </c>
      <c r="C72" s="13" t="s">
        <v>90</v>
      </c>
      <c r="D72" s="12" t="s">
        <v>33</v>
      </c>
      <c r="E72" s="14" t="n">
        <v>400</v>
      </c>
      <c r="F72" s="15" t="n">
        <v>50.26</v>
      </c>
      <c r="G72" s="15" t="n">
        <f aca="false">IF(F72="","",E72*F72)</f>
        <v>20104</v>
      </c>
      <c r="H72" s="16"/>
      <c r="I72" s="15" t="str">
        <f aca="false">IF(H72="","",E72*H72)</f>
        <v/>
      </c>
      <c r="J72" s="17" t="str">
        <f aca="false">IF(OR(H72="",F72=""),"",H72/F72)</f>
        <v/>
      </c>
      <c r="K72" s="18"/>
    </row>
    <row r="73" customFormat="false" ht="73.5" hidden="false" customHeight="true" outlineLevel="0" collapsed="false">
      <c r="A73" s="12" t="n">
        <v>59</v>
      </c>
      <c r="B73" s="12" t="n">
        <v>1</v>
      </c>
      <c r="C73" s="13" t="s">
        <v>91</v>
      </c>
      <c r="D73" s="12" t="s">
        <v>33</v>
      </c>
      <c r="E73" s="14" t="n">
        <v>100</v>
      </c>
      <c r="F73" s="15" t="n">
        <v>58.29</v>
      </c>
      <c r="G73" s="15" t="n">
        <f aca="false">IF(F73="","",E73*F73)</f>
        <v>5829</v>
      </c>
      <c r="H73" s="16"/>
      <c r="I73" s="15" t="str">
        <f aca="false">IF(H73="","",E73*H73)</f>
        <v/>
      </c>
      <c r="J73" s="17" t="str">
        <f aca="false">IF(OR(H73="",F73=""),"",H73/F73)</f>
        <v/>
      </c>
      <c r="K73" s="18"/>
    </row>
    <row r="74" customFormat="false" ht="73.5" hidden="false" customHeight="true" outlineLevel="0" collapsed="false">
      <c r="A74" s="12" t="n">
        <v>60</v>
      </c>
      <c r="B74" s="12" t="n">
        <v>1</v>
      </c>
      <c r="C74" s="13" t="s">
        <v>92</v>
      </c>
      <c r="D74" s="12" t="s">
        <v>33</v>
      </c>
      <c r="E74" s="14" t="n">
        <v>250</v>
      </c>
      <c r="F74" s="15" t="n">
        <v>57.55</v>
      </c>
      <c r="G74" s="15" t="n">
        <f aca="false">IF(F74="","",E74*F74)</f>
        <v>14387.5</v>
      </c>
      <c r="H74" s="16"/>
      <c r="I74" s="15" t="str">
        <f aca="false">IF(H74="","",E74*H74)</f>
        <v/>
      </c>
      <c r="J74" s="17" t="str">
        <f aca="false">IF(OR(H74="",F74=""),"",H74/F74)</f>
        <v/>
      </c>
      <c r="K74" s="18"/>
    </row>
    <row r="75" customFormat="false" ht="45.75" hidden="false" customHeight="true" outlineLevel="0" collapsed="false">
      <c r="A75" s="12" t="n">
        <v>61</v>
      </c>
      <c r="B75" s="12" t="n">
        <v>1</v>
      </c>
      <c r="C75" s="13" t="s">
        <v>93</v>
      </c>
      <c r="D75" s="12" t="s">
        <v>33</v>
      </c>
      <c r="E75" s="14" t="n">
        <v>145</v>
      </c>
      <c r="F75" s="15" t="n">
        <v>39.27</v>
      </c>
      <c r="G75" s="15" t="n">
        <f aca="false">IF(F75="","",E75*F75)</f>
        <v>5694.15</v>
      </c>
      <c r="H75" s="16"/>
      <c r="I75" s="15" t="str">
        <f aca="false">IF(H75="","",E75*H75)</f>
        <v/>
      </c>
      <c r="J75" s="17" t="str">
        <f aca="false">IF(OR(H75="",F75=""),"",H75/F75)</f>
        <v/>
      </c>
      <c r="K75" s="18"/>
    </row>
    <row r="76" customFormat="false" ht="60" hidden="false" customHeight="true" outlineLevel="0" collapsed="false">
      <c r="A76" s="12" t="n">
        <v>62</v>
      </c>
      <c r="B76" s="12" t="n">
        <v>1</v>
      </c>
      <c r="C76" s="13" t="s">
        <v>94</v>
      </c>
      <c r="D76" s="12" t="s">
        <v>33</v>
      </c>
      <c r="E76" s="14" t="n">
        <v>450</v>
      </c>
      <c r="F76" s="15" t="n">
        <v>34.42</v>
      </c>
      <c r="G76" s="15" t="n">
        <f aca="false">IF(F76="","",E76*F76)</f>
        <v>15489</v>
      </c>
      <c r="H76" s="16"/>
      <c r="I76" s="15" t="str">
        <f aca="false">IF(H76="","",E76*H76)</f>
        <v/>
      </c>
      <c r="J76" s="17" t="str">
        <f aca="false">IF(OR(H76="",F76=""),"",H76/F76)</f>
        <v/>
      </c>
      <c r="K76" s="18"/>
    </row>
    <row r="77" customFormat="false" ht="31.5" hidden="false" customHeight="true" outlineLevel="0" collapsed="false">
      <c r="A77" s="12" t="n">
        <v>63</v>
      </c>
      <c r="B77" s="12" t="n">
        <v>1</v>
      </c>
      <c r="C77" s="13" t="s">
        <v>95</v>
      </c>
      <c r="D77" s="12" t="s">
        <v>33</v>
      </c>
      <c r="E77" s="14" t="n">
        <v>110</v>
      </c>
      <c r="F77" s="15" t="n">
        <v>220</v>
      </c>
      <c r="G77" s="15" t="n">
        <f aca="false">IF(F77="","",E77*F77)</f>
        <v>24200</v>
      </c>
      <c r="H77" s="16"/>
      <c r="I77" s="15" t="str">
        <f aca="false">IF(H77="","",E77*H77)</f>
        <v/>
      </c>
      <c r="J77" s="17" t="str">
        <f aca="false">IF(OR(H77="",F77=""),"",H77/F77)</f>
        <v/>
      </c>
      <c r="K77" s="18"/>
    </row>
    <row r="78" customFormat="false" ht="60" hidden="false" customHeight="true" outlineLevel="0" collapsed="false">
      <c r="A78" s="12" t="n">
        <v>64</v>
      </c>
      <c r="B78" s="12" t="n">
        <v>1</v>
      </c>
      <c r="C78" s="13" t="s">
        <v>96</v>
      </c>
      <c r="D78" s="12" t="s">
        <v>33</v>
      </c>
      <c r="E78" s="14" t="n">
        <v>15</v>
      </c>
      <c r="F78" s="15" t="n">
        <v>85.28</v>
      </c>
      <c r="G78" s="15" t="n">
        <f aca="false">IF(F78="","",E78*F78)</f>
        <v>1279.2</v>
      </c>
      <c r="H78" s="16"/>
      <c r="I78" s="15" t="str">
        <f aca="false">IF(H78="","",E78*H78)</f>
        <v/>
      </c>
      <c r="J78" s="17" t="str">
        <f aca="false">IF(OR(H78="",F78=""),"",H78/F78)</f>
        <v/>
      </c>
      <c r="K78" s="18"/>
    </row>
    <row r="79" customFormat="false" ht="60" hidden="false" customHeight="true" outlineLevel="0" collapsed="false">
      <c r="A79" s="12" t="n">
        <v>65</v>
      </c>
      <c r="B79" s="12" t="n">
        <v>1</v>
      </c>
      <c r="C79" s="13" t="s">
        <v>97</v>
      </c>
      <c r="D79" s="12" t="s">
        <v>33</v>
      </c>
      <c r="E79" s="14" t="n">
        <v>450</v>
      </c>
      <c r="F79" s="15" t="n">
        <v>52.25</v>
      </c>
      <c r="G79" s="15" t="n">
        <f aca="false">IF(F79="","",E79*F79)</f>
        <v>23512.5</v>
      </c>
      <c r="H79" s="16"/>
      <c r="I79" s="15" t="str">
        <f aca="false">IF(H79="","",E79*H79)</f>
        <v/>
      </c>
      <c r="J79" s="17" t="str">
        <f aca="false">IF(OR(H79="",F79=""),"",H79/F79)</f>
        <v/>
      </c>
      <c r="K79" s="18"/>
    </row>
    <row r="80" customFormat="false" ht="60" hidden="false" customHeight="true" outlineLevel="0" collapsed="false">
      <c r="A80" s="12" t="n">
        <v>66</v>
      </c>
      <c r="B80" s="12" t="n">
        <v>1</v>
      </c>
      <c r="C80" s="13" t="s">
        <v>98</v>
      </c>
      <c r="D80" s="12" t="s">
        <v>33</v>
      </c>
      <c r="E80" s="14" t="n">
        <v>138</v>
      </c>
      <c r="F80" s="15" t="n">
        <v>60.1</v>
      </c>
      <c r="G80" s="15" t="n">
        <f aca="false">IF(F80="","",E80*F80)</f>
        <v>8293.8</v>
      </c>
      <c r="H80" s="16"/>
      <c r="I80" s="15" t="str">
        <f aca="false">IF(H80="","",E80*H80)</f>
        <v/>
      </c>
      <c r="J80" s="17" t="str">
        <f aca="false">IF(OR(H80="",F80=""),"",H80/F80)</f>
        <v/>
      </c>
      <c r="K80" s="18"/>
    </row>
    <row r="81" customFormat="false" ht="60" hidden="false" customHeight="true" outlineLevel="0" collapsed="false">
      <c r="A81" s="12" t="n">
        <v>67</v>
      </c>
      <c r="B81" s="12" t="n">
        <v>1</v>
      </c>
      <c r="C81" s="13" t="s">
        <v>99</v>
      </c>
      <c r="D81" s="12" t="s">
        <v>33</v>
      </c>
      <c r="E81" s="14" t="n">
        <v>315</v>
      </c>
      <c r="F81" s="15" t="n">
        <v>58.24</v>
      </c>
      <c r="G81" s="15" t="n">
        <f aca="false">IF(F81="","",E81*F81)</f>
        <v>18345.6</v>
      </c>
      <c r="H81" s="16"/>
      <c r="I81" s="15" t="str">
        <f aca="false">IF(H81="","",E81*H81)</f>
        <v/>
      </c>
      <c r="J81" s="17" t="str">
        <f aca="false">IF(OR(H81="",F81=""),"",H81/F81)</f>
        <v/>
      </c>
      <c r="K81" s="18"/>
    </row>
    <row r="82" customFormat="false" ht="60" hidden="false" customHeight="true" outlineLevel="0" collapsed="false">
      <c r="A82" s="12" t="n">
        <v>68</v>
      </c>
      <c r="B82" s="12" t="n">
        <v>1</v>
      </c>
      <c r="C82" s="13" t="s">
        <v>100</v>
      </c>
      <c r="D82" s="12" t="s">
        <v>33</v>
      </c>
      <c r="E82" s="14" t="n">
        <v>500</v>
      </c>
      <c r="F82" s="15" t="n">
        <v>55.32</v>
      </c>
      <c r="G82" s="15" t="n">
        <f aca="false">IF(F82="","",E82*F82)</f>
        <v>27660</v>
      </c>
      <c r="H82" s="16"/>
      <c r="I82" s="15" t="str">
        <f aca="false">IF(H82="","",E82*H82)</f>
        <v/>
      </c>
      <c r="J82" s="17" t="str">
        <f aca="false">IF(OR(H82="",F82=""),"",H82/F82)</f>
        <v/>
      </c>
      <c r="K82" s="18"/>
    </row>
    <row r="83" customFormat="false" ht="73.5" hidden="false" customHeight="true" outlineLevel="0" collapsed="false">
      <c r="A83" s="12" t="n">
        <v>69</v>
      </c>
      <c r="B83" s="12" t="n">
        <v>1</v>
      </c>
      <c r="C83" s="13" t="s">
        <v>101</v>
      </c>
      <c r="D83" s="12" t="s">
        <v>33</v>
      </c>
      <c r="E83" s="14" t="n">
        <v>440</v>
      </c>
      <c r="F83" s="15" t="n">
        <v>149</v>
      </c>
      <c r="G83" s="15" t="n">
        <f aca="false">IF(F83="","",E83*F83)</f>
        <v>65560</v>
      </c>
      <c r="H83" s="16"/>
      <c r="I83" s="15" t="str">
        <f aca="false">IF(H83="","",E83*H83)</f>
        <v/>
      </c>
      <c r="J83" s="17" t="str">
        <f aca="false">IF(OR(H83="",F83=""),"",H83/F83)</f>
        <v/>
      </c>
      <c r="K83" s="18"/>
    </row>
    <row r="84" customFormat="false" ht="60" hidden="false" customHeight="true" outlineLevel="0" collapsed="false">
      <c r="A84" s="12" t="n">
        <v>70</v>
      </c>
      <c r="B84" s="12" t="n">
        <v>1</v>
      </c>
      <c r="C84" s="13" t="s">
        <v>102</v>
      </c>
      <c r="D84" s="12" t="s">
        <v>33</v>
      </c>
      <c r="E84" s="14" t="n">
        <v>25</v>
      </c>
      <c r="F84" s="15" t="n">
        <v>89.94</v>
      </c>
      <c r="G84" s="15" t="n">
        <f aca="false">IF(F84="","",E84*F84)</f>
        <v>2248.5</v>
      </c>
      <c r="H84" s="16"/>
      <c r="I84" s="15" t="str">
        <f aca="false">IF(H84="","",E84*H84)</f>
        <v/>
      </c>
      <c r="J84" s="17" t="str">
        <f aca="false">IF(OR(H84="",F84=""),"",H84/F84)</f>
        <v/>
      </c>
      <c r="K84" s="18"/>
    </row>
    <row r="85" customFormat="false" ht="60" hidden="false" customHeight="true" outlineLevel="0" collapsed="false">
      <c r="A85" s="12" t="n">
        <v>71</v>
      </c>
      <c r="B85" s="12" t="n">
        <v>1</v>
      </c>
      <c r="C85" s="13" t="s">
        <v>103</v>
      </c>
      <c r="D85" s="12" t="s">
        <v>33</v>
      </c>
      <c r="E85" s="14" t="n">
        <v>2</v>
      </c>
      <c r="F85" s="15" t="n">
        <v>84.48</v>
      </c>
      <c r="G85" s="15" t="n">
        <f aca="false">IF(F85="","",E85*F85)</f>
        <v>168.96</v>
      </c>
      <c r="H85" s="16"/>
      <c r="I85" s="15" t="str">
        <f aca="false">IF(H85="","",E85*H85)</f>
        <v/>
      </c>
      <c r="J85" s="17" t="str">
        <f aca="false">IF(OR(H85="",F85=""),"",H85/F85)</f>
        <v/>
      </c>
      <c r="K85" s="18"/>
    </row>
    <row r="86" customFormat="false" ht="60" hidden="false" customHeight="true" outlineLevel="0" collapsed="false">
      <c r="A86" s="12" t="n">
        <v>72</v>
      </c>
      <c r="B86" s="12" t="n">
        <v>1</v>
      </c>
      <c r="C86" s="13" t="s">
        <v>104</v>
      </c>
      <c r="D86" s="12" t="s">
        <v>105</v>
      </c>
      <c r="E86" s="14" t="n">
        <v>46</v>
      </c>
      <c r="F86" s="15" t="n">
        <v>121.53</v>
      </c>
      <c r="G86" s="15" t="n">
        <f aca="false">IF(F86="","",E86*F86)</f>
        <v>5590.38</v>
      </c>
      <c r="H86" s="16"/>
      <c r="I86" s="15" t="str">
        <f aca="false">IF(H86="","",E86*H86)</f>
        <v/>
      </c>
      <c r="J86" s="17" t="str">
        <f aca="false">IF(OR(H86="",F86=""),"",H86/F86)</f>
        <v/>
      </c>
      <c r="K86" s="18"/>
    </row>
    <row r="87" customFormat="false" ht="45.75" hidden="false" customHeight="true" outlineLevel="0" collapsed="false">
      <c r="A87" s="12" t="n">
        <v>73</v>
      </c>
      <c r="B87" s="12" t="n">
        <v>1</v>
      </c>
      <c r="C87" s="13" t="s">
        <v>106</v>
      </c>
      <c r="D87" s="12" t="s">
        <v>33</v>
      </c>
      <c r="E87" s="14" t="n">
        <v>10</v>
      </c>
      <c r="F87" s="15" t="n">
        <v>79.36</v>
      </c>
      <c r="G87" s="15" t="n">
        <f aca="false">IF(F87="","",E87*F87)</f>
        <v>793.6</v>
      </c>
      <c r="H87" s="16"/>
      <c r="I87" s="15" t="str">
        <f aca="false">IF(H87="","",E87*H87)</f>
        <v/>
      </c>
      <c r="J87" s="17" t="str">
        <f aca="false">IF(OR(H87="",F87=""),"",H87/F87)</f>
        <v/>
      </c>
      <c r="K87" s="18"/>
    </row>
    <row r="88" customFormat="false" ht="45.75" hidden="false" customHeight="true" outlineLevel="0" collapsed="false">
      <c r="A88" s="12" t="n">
        <v>74</v>
      </c>
      <c r="B88" s="12" t="n">
        <v>1</v>
      </c>
      <c r="C88" s="13" t="s">
        <v>107</v>
      </c>
      <c r="D88" s="12" t="s">
        <v>33</v>
      </c>
      <c r="E88" s="14" t="n">
        <v>20</v>
      </c>
      <c r="F88" s="15" t="n">
        <v>76.82</v>
      </c>
      <c r="G88" s="15" t="n">
        <f aca="false">IF(F88="","",E88*F88)</f>
        <v>1536.4</v>
      </c>
      <c r="H88" s="16"/>
      <c r="I88" s="15" t="str">
        <f aca="false">IF(H88="","",E88*H88)</f>
        <v/>
      </c>
      <c r="J88" s="17" t="str">
        <f aca="false">IF(OR(H88="",F88=""),"",H88/F88)</f>
        <v/>
      </c>
      <c r="K88" s="18"/>
    </row>
    <row r="89" customFormat="false" ht="60" hidden="false" customHeight="true" outlineLevel="0" collapsed="false">
      <c r="A89" s="12" t="n">
        <v>75</v>
      </c>
      <c r="B89" s="12" t="n">
        <v>1</v>
      </c>
      <c r="C89" s="13" t="s">
        <v>108</v>
      </c>
      <c r="D89" s="12" t="s">
        <v>33</v>
      </c>
      <c r="E89" s="14" t="n">
        <v>5</v>
      </c>
      <c r="F89" s="15" t="n">
        <v>92.02</v>
      </c>
      <c r="G89" s="15" t="n">
        <f aca="false">IF(F89="","",E89*F89)</f>
        <v>460.1</v>
      </c>
      <c r="H89" s="16"/>
      <c r="I89" s="15" t="str">
        <f aca="false">IF(H89="","",E89*H89)</f>
        <v/>
      </c>
      <c r="J89" s="17" t="str">
        <f aca="false">IF(OR(H89="",F89=""),"",H89/F89)</f>
        <v/>
      </c>
      <c r="K89" s="18"/>
    </row>
    <row r="90" customFormat="false" ht="60" hidden="false" customHeight="true" outlineLevel="0" collapsed="false">
      <c r="A90" s="12" t="n">
        <v>76</v>
      </c>
      <c r="B90" s="12" t="n">
        <v>1</v>
      </c>
      <c r="C90" s="13" t="s">
        <v>109</v>
      </c>
      <c r="D90" s="12" t="s">
        <v>33</v>
      </c>
      <c r="E90" s="14" t="n">
        <v>1000</v>
      </c>
      <c r="F90" s="15" t="n">
        <v>73.14</v>
      </c>
      <c r="G90" s="15" t="n">
        <f aca="false">IF(F90="","",E90*F90)</f>
        <v>73140</v>
      </c>
      <c r="H90" s="16"/>
      <c r="I90" s="15" t="str">
        <f aca="false">IF(H90="","",E90*H90)</f>
        <v/>
      </c>
      <c r="J90" s="17" t="str">
        <f aca="false">IF(OR(H90="",F90=""),"",H90/F90)</f>
        <v/>
      </c>
      <c r="K90" s="18"/>
    </row>
    <row r="91" customFormat="false" ht="60" hidden="false" customHeight="true" outlineLevel="0" collapsed="false">
      <c r="A91" s="12" t="n">
        <v>77</v>
      </c>
      <c r="B91" s="12" t="n">
        <v>1</v>
      </c>
      <c r="C91" s="13" t="s">
        <v>110</v>
      </c>
      <c r="D91" s="12" t="s">
        <v>33</v>
      </c>
      <c r="E91" s="14" t="n">
        <v>5</v>
      </c>
      <c r="F91" s="15" t="n">
        <v>107.14</v>
      </c>
      <c r="G91" s="15" t="n">
        <f aca="false">IF(F91="","",E91*F91)</f>
        <v>535.7</v>
      </c>
      <c r="H91" s="16"/>
      <c r="I91" s="15" t="str">
        <f aca="false">IF(H91="","",E91*H91)</f>
        <v/>
      </c>
      <c r="J91" s="17" t="str">
        <f aca="false">IF(OR(H91="",F91=""),"",H91/F91)</f>
        <v/>
      </c>
      <c r="K91" s="18"/>
    </row>
    <row r="92" customFormat="false" ht="60" hidden="false" customHeight="true" outlineLevel="0" collapsed="false">
      <c r="A92" s="12" t="n">
        <v>78</v>
      </c>
      <c r="B92" s="12" t="n">
        <v>1</v>
      </c>
      <c r="C92" s="13" t="s">
        <v>111</v>
      </c>
      <c r="D92" s="12" t="s">
        <v>33</v>
      </c>
      <c r="E92" s="14" t="n">
        <v>40</v>
      </c>
      <c r="F92" s="15" t="n">
        <v>79</v>
      </c>
      <c r="G92" s="15" t="n">
        <f aca="false">IF(F92="","",E92*F92)</f>
        <v>3160</v>
      </c>
      <c r="H92" s="16"/>
      <c r="I92" s="15" t="str">
        <f aca="false">IF(H92="","",E92*H92)</f>
        <v/>
      </c>
      <c r="J92" s="17" t="str">
        <f aca="false">IF(OR(H92="",F92=""),"",H92/F92)</f>
        <v/>
      </c>
      <c r="K92" s="18"/>
    </row>
    <row r="93" customFormat="false" ht="60" hidden="false" customHeight="true" outlineLevel="0" collapsed="false">
      <c r="A93" s="12" t="n">
        <v>79</v>
      </c>
      <c r="B93" s="12" t="n">
        <v>1</v>
      </c>
      <c r="C93" s="13" t="s">
        <v>112</v>
      </c>
      <c r="D93" s="12" t="s">
        <v>33</v>
      </c>
      <c r="E93" s="14" t="n">
        <v>40</v>
      </c>
      <c r="F93" s="15" t="n">
        <v>79</v>
      </c>
      <c r="G93" s="15" t="n">
        <f aca="false">IF(F93="","",E93*F93)</f>
        <v>3160</v>
      </c>
      <c r="H93" s="16"/>
      <c r="I93" s="15" t="str">
        <f aca="false">IF(H93="","",E93*H93)</f>
        <v/>
      </c>
      <c r="J93" s="17" t="str">
        <f aca="false">IF(OR(H93="",F93=""),"",H93/F93)</f>
        <v/>
      </c>
      <c r="K93" s="18"/>
    </row>
    <row r="94" customFormat="false" ht="60" hidden="false" customHeight="true" outlineLevel="0" collapsed="false">
      <c r="A94" s="12" t="n">
        <v>80</v>
      </c>
      <c r="B94" s="12" t="n">
        <v>1</v>
      </c>
      <c r="C94" s="13" t="s">
        <v>113</v>
      </c>
      <c r="D94" s="12" t="s">
        <v>33</v>
      </c>
      <c r="E94" s="14" t="n">
        <v>10</v>
      </c>
      <c r="F94" s="15" t="n">
        <v>79</v>
      </c>
      <c r="G94" s="15" t="n">
        <f aca="false">IF(F94="","",E94*F94)</f>
        <v>790</v>
      </c>
      <c r="H94" s="16"/>
      <c r="I94" s="15" t="str">
        <f aca="false">IF(H94="","",E94*H94)</f>
        <v/>
      </c>
      <c r="J94" s="17" t="str">
        <f aca="false">IF(OR(H94="",F94=""),"",H94/F94)</f>
        <v/>
      </c>
      <c r="K94" s="18"/>
    </row>
    <row r="95" customFormat="false" ht="60" hidden="false" customHeight="true" outlineLevel="0" collapsed="false">
      <c r="A95" s="12" t="n">
        <v>81</v>
      </c>
      <c r="B95" s="12" t="n">
        <v>1</v>
      </c>
      <c r="C95" s="13" t="s">
        <v>114</v>
      </c>
      <c r="D95" s="12" t="s">
        <v>33</v>
      </c>
      <c r="E95" s="14" t="n">
        <v>10</v>
      </c>
      <c r="F95" s="15" t="n">
        <v>79</v>
      </c>
      <c r="G95" s="15" t="n">
        <f aca="false">IF(F95="","",E95*F95)</f>
        <v>790</v>
      </c>
      <c r="H95" s="16"/>
      <c r="I95" s="15" t="str">
        <f aca="false">IF(H95="","",E95*H95)</f>
        <v/>
      </c>
      <c r="J95" s="17" t="str">
        <f aca="false">IF(OR(H95="",F95=""),"",H95/F95)</f>
        <v/>
      </c>
      <c r="K95" s="18"/>
    </row>
    <row r="96" customFormat="false" ht="60" hidden="false" customHeight="true" outlineLevel="0" collapsed="false">
      <c r="A96" s="12" t="n">
        <v>82</v>
      </c>
      <c r="B96" s="12" t="n">
        <v>1</v>
      </c>
      <c r="C96" s="13" t="s">
        <v>115</v>
      </c>
      <c r="D96" s="12" t="s">
        <v>33</v>
      </c>
      <c r="E96" s="14" t="n">
        <v>50</v>
      </c>
      <c r="F96" s="15" t="n">
        <v>60.83</v>
      </c>
      <c r="G96" s="15" t="n">
        <f aca="false">IF(F96="","",E96*F96)</f>
        <v>3041.5</v>
      </c>
      <c r="H96" s="16"/>
      <c r="I96" s="15" t="str">
        <f aca="false">IF(H96="","",E96*H96)</f>
        <v/>
      </c>
      <c r="J96" s="17" t="str">
        <f aca="false">IF(OR(H96="",F96=""),"",H96/F96)</f>
        <v/>
      </c>
      <c r="K96" s="18"/>
    </row>
    <row r="97" customFormat="false" ht="60" hidden="false" customHeight="true" outlineLevel="0" collapsed="false">
      <c r="A97" s="12" t="n">
        <v>83</v>
      </c>
      <c r="B97" s="12" t="n">
        <v>1</v>
      </c>
      <c r="C97" s="13" t="s">
        <v>116</v>
      </c>
      <c r="D97" s="12" t="s">
        <v>33</v>
      </c>
      <c r="E97" s="14" t="n">
        <v>10</v>
      </c>
      <c r="F97" s="15" t="n">
        <v>201.15</v>
      </c>
      <c r="G97" s="15" t="n">
        <f aca="false">IF(F97="","",E97*F97)</f>
        <v>2011.5</v>
      </c>
      <c r="H97" s="16"/>
      <c r="I97" s="15" t="str">
        <f aca="false">IF(H97="","",E97*H97)</f>
        <v/>
      </c>
      <c r="J97" s="17" t="str">
        <f aca="false">IF(OR(H97="",F97=""),"",H97/F97)</f>
        <v/>
      </c>
      <c r="K97" s="18"/>
    </row>
    <row r="98" customFormat="false" ht="73.5" hidden="false" customHeight="true" outlineLevel="0" collapsed="false">
      <c r="A98" s="12" t="n">
        <v>84</v>
      </c>
      <c r="B98" s="12" t="n">
        <v>1</v>
      </c>
      <c r="C98" s="13" t="s">
        <v>117</v>
      </c>
      <c r="D98" s="12" t="s">
        <v>33</v>
      </c>
      <c r="E98" s="14" t="n">
        <v>8</v>
      </c>
      <c r="F98" s="15" t="n">
        <v>194.74</v>
      </c>
      <c r="G98" s="15" t="n">
        <f aca="false">IF(F98="","",E98*F98)</f>
        <v>1557.92</v>
      </c>
      <c r="H98" s="16"/>
      <c r="I98" s="15" t="str">
        <f aca="false">IF(H98="","",E98*H98)</f>
        <v/>
      </c>
      <c r="J98" s="17" t="str">
        <f aca="false">IF(OR(H98="",F98=""),"",H98/F98)</f>
        <v/>
      </c>
      <c r="K98" s="18"/>
    </row>
    <row r="99" customFormat="false" ht="73.5" hidden="false" customHeight="true" outlineLevel="0" collapsed="false">
      <c r="A99" s="12" t="n">
        <v>85</v>
      </c>
      <c r="B99" s="12" t="n">
        <v>1</v>
      </c>
      <c r="C99" s="13" t="s">
        <v>118</v>
      </c>
      <c r="D99" s="12" t="s">
        <v>33</v>
      </c>
      <c r="E99" s="14" t="n">
        <v>106</v>
      </c>
      <c r="F99" s="15" t="n">
        <v>193.53</v>
      </c>
      <c r="G99" s="15" t="n">
        <f aca="false">IF(F99="","",E99*F99)</f>
        <v>20514.18</v>
      </c>
      <c r="H99" s="16"/>
      <c r="I99" s="15" t="str">
        <f aca="false">IF(H99="","",E99*H99)</f>
        <v/>
      </c>
      <c r="J99" s="17" t="str">
        <f aca="false">IF(OR(H99="",F99=""),"",H99/F99)</f>
        <v/>
      </c>
      <c r="K99" s="18"/>
    </row>
    <row r="100" customFormat="false" ht="73.5" hidden="false" customHeight="true" outlineLevel="0" collapsed="false">
      <c r="A100" s="12" t="n">
        <v>86</v>
      </c>
      <c r="B100" s="12" t="n">
        <v>1</v>
      </c>
      <c r="C100" s="13" t="s">
        <v>119</v>
      </c>
      <c r="D100" s="12" t="s">
        <v>33</v>
      </c>
      <c r="E100" s="14" t="n">
        <v>250</v>
      </c>
      <c r="F100" s="15" t="n">
        <v>188.26</v>
      </c>
      <c r="G100" s="15" t="n">
        <f aca="false">IF(F100="","",E100*F100)</f>
        <v>47065</v>
      </c>
      <c r="H100" s="16"/>
      <c r="I100" s="15" t="str">
        <f aca="false">IF(H100="","",E100*H100)</f>
        <v/>
      </c>
      <c r="J100" s="17" t="str">
        <f aca="false">IF(OR(H100="",F100=""),"",H100/F100)</f>
        <v/>
      </c>
      <c r="K100" s="18"/>
    </row>
    <row r="101" customFormat="false" ht="87.75" hidden="false" customHeight="true" outlineLevel="0" collapsed="false">
      <c r="A101" s="12" t="n">
        <v>87</v>
      </c>
      <c r="B101" s="12" t="n">
        <v>1</v>
      </c>
      <c r="C101" s="13" t="s">
        <v>120</v>
      </c>
      <c r="D101" s="12" t="s">
        <v>33</v>
      </c>
      <c r="E101" s="14" t="n">
        <v>300</v>
      </c>
      <c r="F101" s="15" t="n">
        <v>140.7</v>
      </c>
      <c r="G101" s="15" t="n">
        <f aca="false">IF(F101="","",E101*F101)</f>
        <v>42210</v>
      </c>
      <c r="H101" s="16"/>
      <c r="I101" s="15" t="str">
        <f aca="false">IF(H101="","",E101*H101)</f>
        <v/>
      </c>
      <c r="J101" s="17" t="str">
        <f aca="false">IF(OR(H101="",F101=""),"",H101/F101)</f>
        <v/>
      </c>
      <c r="K101" s="18"/>
    </row>
    <row r="102" customFormat="false" ht="60" hidden="false" customHeight="true" outlineLevel="0" collapsed="false">
      <c r="A102" s="12" t="n">
        <v>88</v>
      </c>
      <c r="B102" s="12" t="n">
        <v>1</v>
      </c>
      <c r="C102" s="13" t="s">
        <v>121</v>
      </c>
      <c r="D102" s="12" t="s">
        <v>33</v>
      </c>
      <c r="E102" s="14" t="n">
        <v>22</v>
      </c>
      <c r="F102" s="15" t="n">
        <v>215.63</v>
      </c>
      <c r="G102" s="15" t="n">
        <f aca="false">IF(F102="","",E102*F102)</f>
        <v>4743.86</v>
      </c>
      <c r="H102" s="16"/>
      <c r="I102" s="15" t="str">
        <f aca="false">IF(H102="","",E102*H102)</f>
        <v/>
      </c>
      <c r="J102" s="17" t="str">
        <f aca="false">IF(OR(H102="",F102=""),"",H102/F102)</f>
        <v/>
      </c>
      <c r="K102" s="18"/>
    </row>
    <row r="103" customFormat="false" ht="87.75" hidden="false" customHeight="true" outlineLevel="0" collapsed="false">
      <c r="A103" s="12" t="n">
        <v>89</v>
      </c>
      <c r="B103" s="12" t="n">
        <v>1</v>
      </c>
      <c r="C103" s="13" t="s">
        <v>122</v>
      </c>
      <c r="D103" s="12" t="s">
        <v>33</v>
      </c>
      <c r="E103" s="14" t="n">
        <v>467</v>
      </c>
      <c r="F103" s="15" t="n">
        <v>70.21</v>
      </c>
      <c r="G103" s="15" t="n">
        <f aca="false">IF(F103="","",E103*F103)</f>
        <v>32788.07</v>
      </c>
      <c r="H103" s="16"/>
      <c r="I103" s="15" t="str">
        <f aca="false">IF(H103="","",E103*H103)</f>
        <v/>
      </c>
      <c r="J103" s="17" t="str">
        <f aca="false">IF(OR(H103="",F103=""),"",H103/F103)</f>
        <v/>
      </c>
      <c r="K103" s="18"/>
    </row>
    <row r="104" customFormat="false" ht="60" hidden="false" customHeight="true" outlineLevel="0" collapsed="false">
      <c r="A104" s="12" t="n">
        <v>90</v>
      </c>
      <c r="B104" s="12" t="n">
        <v>1</v>
      </c>
      <c r="C104" s="13" t="s">
        <v>123</v>
      </c>
      <c r="D104" s="12" t="s">
        <v>33</v>
      </c>
      <c r="E104" s="14" t="n">
        <v>100</v>
      </c>
      <c r="F104" s="15" t="n">
        <v>44.47</v>
      </c>
      <c r="G104" s="15" t="n">
        <f aca="false">IF(F104="","",E104*F104)</f>
        <v>4447</v>
      </c>
      <c r="H104" s="16"/>
      <c r="I104" s="15" t="str">
        <f aca="false">IF(H104="","",E104*H104)</f>
        <v/>
      </c>
      <c r="J104" s="17" t="str">
        <f aca="false">IF(OR(H104="",F104=""),"",H104/F104)</f>
        <v/>
      </c>
      <c r="K104" s="18"/>
    </row>
    <row r="105" customFormat="false" ht="45.75" hidden="false" customHeight="true" outlineLevel="0" collapsed="false">
      <c r="A105" s="12" t="n">
        <v>91</v>
      </c>
      <c r="B105" s="12" t="n">
        <v>1</v>
      </c>
      <c r="C105" s="13" t="s">
        <v>124</v>
      </c>
      <c r="D105" s="12" t="s">
        <v>33</v>
      </c>
      <c r="E105" s="14" t="n">
        <v>8</v>
      </c>
      <c r="F105" s="15" t="n">
        <v>49.9</v>
      </c>
      <c r="G105" s="15" t="n">
        <f aca="false">IF(F105="","",E105*F105)</f>
        <v>399.2</v>
      </c>
      <c r="H105" s="16"/>
      <c r="I105" s="15" t="str">
        <f aca="false">IF(H105="","",E105*H105)</f>
        <v/>
      </c>
      <c r="J105" s="17" t="str">
        <f aca="false">IF(OR(H105="",F105=""),"",H105/F105)</f>
        <v/>
      </c>
      <c r="K105" s="18"/>
    </row>
    <row r="106" customFormat="false" ht="15" hidden="false" customHeight="false" outlineLevel="0" collapsed="false">
      <c r="A106" s="19"/>
      <c r="B106" s="19"/>
      <c r="C106" s="20" t="s">
        <v>125</v>
      </c>
      <c r="D106" s="19"/>
      <c r="E106" s="19"/>
      <c r="F106" s="19"/>
      <c r="G106" s="21" t="n">
        <f aca="false">SUM(G15:G105)</f>
        <v>1278911.21</v>
      </c>
      <c r="H106" s="19"/>
      <c r="I106" s="21" t="n">
        <f aca="false">SUM(I15:I105)</f>
        <v>0</v>
      </c>
      <c r="J106" s="22" t="str">
        <f aca="false">IF(OR(I106=0,G106=0),"",I106/G106)</f>
        <v/>
      </c>
      <c r="K106" s="19"/>
    </row>
  </sheetData>
  <conditionalFormatting sqref="J15:J106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1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3" t="s">
        <v>126</v>
      </c>
      <c r="B1" s="24" t="s">
        <v>127</v>
      </c>
    </row>
    <row r="2" customFormat="false" ht="15" hidden="false" customHeight="false" outlineLevel="0" collapsed="false">
      <c r="A2" s="23" t="s">
        <v>128</v>
      </c>
      <c r="B2" s="24" t="s">
        <v>129</v>
      </c>
    </row>
    <row r="3" customFormat="false" ht="15" hidden="false" customHeight="false" outlineLevel="0" collapsed="false">
      <c r="A3" s="23" t="s">
        <v>130</v>
      </c>
      <c r="B3" s="24" t="s">
        <v>5</v>
      </c>
    </row>
    <row r="4" customFormat="false" ht="15" hidden="false" customHeight="false" outlineLevel="0" collapsed="false">
      <c r="A4" s="23" t="s">
        <v>131</v>
      </c>
      <c r="B4" s="24" t="s">
        <v>132</v>
      </c>
    </row>
    <row r="5" customFormat="false" ht="15" hidden="false" customHeight="false" outlineLevel="0" collapsed="false">
      <c r="A5" s="23" t="s">
        <v>133</v>
      </c>
      <c r="B5" s="24" t="s">
        <v>11</v>
      </c>
    </row>
    <row r="6" customFormat="false" ht="15" hidden="false" customHeight="false" outlineLevel="0" collapsed="false">
      <c r="A6" s="23" t="s">
        <v>134</v>
      </c>
      <c r="B6" s="24" t="s">
        <v>135</v>
      </c>
    </row>
    <row r="7" customFormat="false" ht="15" hidden="false" customHeight="false" outlineLevel="0" collapsed="false">
      <c r="A7" s="23" t="s">
        <v>136</v>
      </c>
      <c r="B7" s="24" t="s">
        <v>137</v>
      </c>
    </row>
    <row r="8" customFormat="false" ht="15" hidden="false" customHeight="false" outlineLevel="0" collapsed="false">
      <c r="A8" s="23" t="s">
        <v>138</v>
      </c>
      <c r="B8" s="2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2026-09-30T11:46:04Z</dcterms:created>
  <dc:creator>openpyxl</dc:creator>
  <dc:description/>
  <dc:language>en-US</dc:language>
  <cp:lastModifiedBy/>
  <dcterms:modified xsi:type="dcterms:W3CDTF">2026-09-30T11:46:04Z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